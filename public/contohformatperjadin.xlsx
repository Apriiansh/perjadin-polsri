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9425" windowHeight="10305"/>
  </bookViews>
  <sheets>
    <sheet name="SPD (2)" sheetId="16" r:id="rId1"/>
    <sheet name="SPD" sheetId="3" r:id="rId2"/>
    <sheet name="Rincian Biaya Perjadin (2)" sheetId="20" r:id="rId3"/>
    <sheet name="Rincian Biaya Perjadin" sheetId="1" r:id="rId4"/>
    <sheet name="Surat Pernyataan (4)" sheetId="22" r:id="rId5"/>
    <sheet name="Surat Pernyataan (3)" sheetId="21" r:id="rId6"/>
    <sheet name="Surat Pernyataan (2)" sheetId="15" r:id="rId7"/>
    <sheet name="Surat Pernyataan" sheetId="2" r:id="rId8"/>
    <sheet name="Pak darmo format baru" sheetId="18" r:id="rId9"/>
    <sheet name="format baru bersangkutan" sheetId="19" r:id="rId10"/>
    <sheet name="Nominatif Format Baru" sheetId="17" r:id="rId11"/>
    <sheet name="TTD" sheetId="6" r:id="rId12"/>
  </sheets>
  <externalReferences>
    <externalReference r:id="rId13"/>
  </externalReferences>
  <definedNames>
    <definedName name="_xlnm.Print_Area" localSheetId="10">'Nominatif Format Baru'!$A$1:$Q$26</definedName>
    <definedName name="_xlnm.Print_Area" localSheetId="1">SPD!$A$1:$S$112</definedName>
    <definedName name="_xlnm.Print_Area" localSheetId="0">'SPD (2)'!$A$1:$F$109</definedName>
    <definedName name="_xlnm.Print_Area" localSheetId="11">TTD!$A$1:$H$48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8" l="1"/>
  <c r="O14" i="18"/>
  <c r="O11" i="18"/>
  <c r="O12" i="18"/>
  <c r="O13" i="18"/>
  <c r="O10" i="18"/>
  <c r="L11" i="18"/>
  <c r="L10" i="18"/>
  <c r="H11" i="18"/>
  <c r="H12" i="18"/>
  <c r="H13" i="18"/>
  <c r="H10" i="18"/>
  <c r="M14" i="19"/>
  <c r="O14" i="19"/>
  <c r="O11" i="19"/>
  <c r="O12" i="19"/>
  <c r="O13" i="19"/>
  <c r="O10" i="19"/>
  <c r="M11" i="19"/>
  <c r="M12" i="19"/>
  <c r="M13" i="19"/>
  <c r="M10" i="19"/>
  <c r="I13" i="19"/>
  <c r="I10" i="19"/>
  <c r="K15" i="17"/>
  <c r="L15" i="17"/>
  <c r="M15" i="17"/>
  <c r="O15" i="17"/>
  <c r="O14" i="17"/>
  <c r="M14" i="17"/>
  <c r="K14" i="17"/>
  <c r="I14" i="17"/>
  <c r="H14" i="17"/>
  <c r="O13" i="17"/>
  <c r="M13" i="17"/>
  <c r="K13" i="17"/>
  <c r="H13" i="17"/>
  <c r="O12" i="17"/>
  <c r="M12" i="17"/>
  <c r="L12" i="17"/>
  <c r="K12" i="17"/>
  <c r="H12" i="17"/>
  <c r="O11" i="17"/>
  <c r="M11" i="17"/>
  <c r="L11" i="17"/>
  <c r="K11" i="17"/>
  <c r="I11" i="17"/>
  <c r="H11" i="17"/>
  <c r="I107" i="1"/>
  <c r="I17" i="1"/>
  <c r="B34" i="6" l="1"/>
  <c r="G34" i="6" s="1"/>
  <c r="G33" i="6"/>
  <c r="B33" i="6"/>
  <c r="D30" i="6"/>
  <c r="H30" i="6" s="1"/>
  <c r="H27" i="6"/>
  <c r="G26" i="6"/>
  <c r="G25" i="6"/>
  <c r="H22" i="6"/>
  <c r="I101" i="20" l="1"/>
  <c r="I11" i="20"/>
  <c r="I101" i="1"/>
  <c r="I11" i="1"/>
  <c r="G11" i="18" l="1"/>
  <c r="G12" i="18"/>
  <c r="G13" i="18"/>
  <c r="G10" i="18"/>
  <c r="G11" i="19"/>
  <c r="G12" i="19"/>
  <c r="G13" i="19"/>
  <c r="G10" i="19"/>
  <c r="B10" i="19" l="1"/>
  <c r="I107" i="20"/>
  <c r="I17" i="20"/>
  <c r="F16" i="17"/>
  <c r="D19" i="1"/>
  <c r="D19" i="20"/>
  <c r="D109" i="1"/>
  <c r="D108" i="20"/>
  <c r="G151" i="20" l="1"/>
  <c r="C113" i="20"/>
  <c r="I113" i="20"/>
  <c r="J122" i="20"/>
  <c r="E72" i="16"/>
  <c r="E75" i="3"/>
  <c r="F15" i="22"/>
  <c r="F157" i="20"/>
  <c r="H114" i="20"/>
  <c r="F15" i="19"/>
  <c r="C24" i="1" l="1"/>
  <c r="K123" i="20"/>
  <c r="E64" i="16"/>
  <c r="F16" i="22" s="1"/>
  <c r="E12" i="16"/>
  <c r="E9" i="16"/>
  <c r="B32" i="22"/>
  <c r="B19" i="22"/>
  <c r="F13" i="18"/>
  <c r="E13" i="18"/>
  <c r="D13" i="18"/>
  <c r="C13" i="18"/>
  <c r="B13" i="18"/>
  <c r="F12" i="18"/>
  <c r="E12" i="18"/>
  <c r="D12" i="18"/>
  <c r="C12" i="18"/>
  <c r="B12" i="18"/>
  <c r="F11" i="18"/>
  <c r="E11" i="18"/>
  <c r="D11" i="18"/>
  <c r="C11" i="18"/>
  <c r="B11" i="18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E12" i="3" l="1"/>
  <c r="E9" i="3"/>
  <c r="E85" i="3" l="1"/>
  <c r="F16" i="2" l="1"/>
  <c r="F17" i="15" l="1"/>
  <c r="E70" i="3" l="1"/>
  <c r="K34" i="20"/>
  <c r="J33" i="22" s="1"/>
  <c r="E67" i="3"/>
  <c r="K124" i="1" l="1"/>
  <c r="F15" i="15"/>
  <c r="B19" i="15"/>
  <c r="F16" i="15"/>
  <c r="D10" i="18" l="1"/>
  <c r="C10" i="18"/>
  <c r="F17" i="2" l="1"/>
  <c r="F15" i="2"/>
  <c r="B19" i="21" l="1"/>
  <c r="B32" i="21"/>
  <c r="K79" i="20"/>
  <c r="J33" i="20"/>
  <c r="K34" i="1"/>
  <c r="G177" i="20"/>
  <c r="G176" i="20"/>
  <c r="J168" i="20"/>
  <c r="J161" i="20"/>
  <c r="F155" i="20"/>
  <c r="K168" i="20"/>
  <c r="J167" i="20"/>
  <c r="G130" i="20"/>
  <c r="G88" i="20"/>
  <c r="G87" i="20"/>
  <c r="J79" i="20"/>
  <c r="J72" i="20"/>
  <c r="F66" i="20"/>
  <c r="E27" i="16"/>
  <c r="F10" i="18"/>
  <c r="E10" i="18"/>
  <c r="B10" i="18"/>
  <c r="I24" i="20" l="1"/>
  <c r="G129" i="20"/>
  <c r="F15" i="21"/>
  <c r="I32" i="21" s="1"/>
  <c r="I32" i="22"/>
  <c r="J78" i="20"/>
  <c r="F16" i="21"/>
  <c r="J33" i="21" s="1"/>
  <c r="C24" i="20"/>
  <c r="G40" i="20" s="1"/>
  <c r="G62" i="20"/>
  <c r="H25" i="20"/>
  <c r="F68" i="20"/>
  <c r="G41" i="20" l="1"/>
  <c r="J123" i="1"/>
  <c r="J33" i="1"/>
  <c r="N14" i="19" l="1"/>
  <c r="L14" i="19"/>
  <c r="N14" i="18"/>
  <c r="M14" i="18"/>
  <c r="K14" i="19" l="1"/>
  <c r="K14" i="18"/>
  <c r="N15" i="17"/>
  <c r="F15" i="18"/>
  <c r="D109" i="16" l="1"/>
  <c r="E82" i="16"/>
  <c r="E79" i="16"/>
  <c r="D53" i="16"/>
  <c r="D108" i="16" s="1"/>
  <c r="E5" i="16"/>
  <c r="E60" i="16" s="1"/>
  <c r="J33" i="15" l="1"/>
  <c r="I32" i="15"/>
  <c r="B32" i="15"/>
  <c r="D112" i="3" l="1"/>
  <c r="E82" i="3"/>
  <c r="J162" i="1" l="1"/>
  <c r="D53" i="3" l="1"/>
  <c r="D111" i="3" s="1"/>
  <c r="E5" i="3"/>
  <c r="E63" i="3" s="1"/>
  <c r="B32" i="2"/>
  <c r="G178" i="1" l="1"/>
  <c r="G177" i="1"/>
  <c r="K169" i="1"/>
  <c r="J169" i="1"/>
  <c r="J168" i="1"/>
  <c r="F156" i="1"/>
  <c r="G88" i="1"/>
  <c r="G87" i="1"/>
  <c r="K79" i="1"/>
  <c r="J33" i="2" s="1"/>
  <c r="J79" i="1"/>
  <c r="J78" i="1"/>
  <c r="I32" i="2" s="1"/>
  <c r="J72" i="1"/>
  <c r="F66" i="1"/>
  <c r="I114" i="1" l="1"/>
  <c r="C114" i="1"/>
  <c r="G130" i="1" s="1"/>
  <c r="G152" i="1"/>
  <c r="G62" i="1"/>
  <c r="H115" i="1"/>
  <c r="F68" i="1"/>
  <c r="F158" i="1"/>
  <c r="G131" i="1" l="1"/>
  <c r="G40" i="1"/>
  <c r="I24" i="1"/>
  <c r="H25" i="1"/>
  <c r="G41" i="1" l="1"/>
</calcChain>
</file>

<file path=xl/sharedStrings.xml><?xml version="1.0" encoding="utf-8"?>
<sst xmlns="http://schemas.openxmlformats.org/spreadsheetml/2006/main" count="987" uniqueCount="221">
  <si>
    <t>SURAT PERJALANAN DINAS</t>
  </si>
  <si>
    <t xml:space="preserve"> Pejabat Pembuat Komitmen</t>
  </si>
  <si>
    <t xml:space="preserve"> </t>
  </si>
  <si>
    <t>Nama Pegawai yang melaksanakan perjalanan dinas</t>
  </si>
  <si>
    <t>NIP</t>
  </si>
  <si>
    <t xml:space="preserve">  </t>
  </si>
  <si>
    <t>a.</t>
  </si>
  <si>
    <t xml:space="preserve">Pangkat dan golongan </t>
  </si>
  <si>
    <t>b.</t>
  </si>
  <si>
    <t>Jabatan/Instansi</t>
  </si>
  <si>
    <t>c</t>
  </si>
  <si>
    <t>Tingkat Biaya Perjalanan Dinas</t>
  </si>
  <si>
    <t>Maksud  perjalanan dinas</t>
  </si>
  <si>
    <t xml:space="preserve">                        </t>
  </si>
  <si>
    <t>Alat angkutan yang dipergunakan</t>
  </si>
  <si>
    <t>Tempat berangkat</t>
  </si>
  <si>
    <t>Palembang</t>
  </si>
  <si>
    <t>Tempat tujuan</t>
  </si>
  <si>
    <t>Lamanya Perjalanan Dinas</t>
  </si>
  <si>
    <t>Tanggal Berangkat</t>
  </si>
  <si>
    <t>c.</t>
  </si>
  <si>
    <t>Tanggal harus kembali/tiba ditempat baru *)</t>
  </si>
  <si>
    <t>Pengikut  :    Nama</t>
  </si>
  <si>
    <t>1.</t>
  </si>
  <si>
    <t>2.</t>
  </si>
  <si>
    <t>Pembebanan Anggaran</t>
  </si>
  <si>
    <t>Instansi</t>
  </si>
  <si>
    <t xml:space="preserve"> Politeknik Negeri Sriwijaya</t>
  </si>
  <si>
    <t>Akun</t>
  </si>
  <si>
    <t>Keterangan lain-lain</t>
  </si>
  <si>
    <t>Tembusan lain-lain kepada :</t>
  </si>
  <si>
    <t>DIKELUARKAN DI</t>
  </si>
  <si>
    <t>: PALEMBANG</t>
  </si>
  <si>
    <t>PADA TANGGAL</t>
  </si>
  <si>
    <t xml:space="preserve">PEJABAT PEMBUAT KOMITMEN </t>
  </si>
  <si>
    <t>RINCIAN BIAYA PERJALANAN DINAS</t>
  </si>
  <si>
    <t>Lampiran SPPD Nomor</t>
  </si>
  <si>
    <t>:</t>
  </si>
  <si>
    <t xml:space="preserve">          /SPPD/BLU/2025</t>
  </si>
  <si>
    <t>Tanggal</t>
  </si>
  <si>
    <t>NO.</t>
  </si>
  <si>
    <t>Perincian Biaya</t>
  </si>
  <si>
    <t>Jumlah</t>
  </si>
  <si>
    <t>Keterangan</t>
  </si>
  <si>
    <t>Rp.</t>
  </si>
  <si>
    <t xml:space="preserve">Penginapan </t>
  </si>
  <si>
    <t>Transport Darat/taksi (PP)</t>
  </si>
  <si>
    <t>Terbilang  :</t>
  </si>
  <si>
    <t>Telah dibayar sejumlah</t>
  </si>
  <si>
    <t>Telah menerima jumlah uang sebesar</t>
  </si>
  <si>
    <t>,-</t>
  </si>
  <si>
    <t>Bendahara Pengeluaran</t>
  </si>
  <si>
    <t>Yang menerima,</t>
  </si>
  <si>
    <t>Nofitri Kurniawati, S.E.</t>
  </si>
  <si>
    <t>NIP. 197011242001122001</t>
  </si>
  <si>
    <t xml:space="preserve">NIP </t>
  </si>
  <si>
    <t>PERHITUNGAN SPPD RAMPUNG</t>
  </si>
  <si>
    <t>Ditetapkan sejumlah</t>
  </si>
  <si>
    <t>Yang telah dibayar semula</t>
  </si>
  <si>
    <t>Sisa kurang / lebih</t>
  </si>
  <si>
    <t xml:space="preserve"> NIHIL</t>
  </si>
  <si>
    <t>,--</t>
  </si>
  <si>
    <t>Pejabat Pembuat Komitmen</t>
  </si>
  <si>
    <t>Dodi Oktavianto, S.E.</t>
  </si>
  <si>
    <t>NIP. 197810032008101001</t>
  </si>
  <si>
    <t>Beban  MAK</t>
  </si>
  <si>
    <t xml:space="preserve">: </t>
  </si>
  <si>
    <t>Bukti Kas  No.</t>
  </si>
  <si>
    <t>Tahun Anggaran</t>
  </si>
  <si>
    <t>: 2025</t>
  </si>
  <si>
    <t>K U I T A N S I</t>
  </si>
  <si>
    <t xml:space="preserve">Sudah Terima dari                 </t>
  </si>
  <si>
    <t>Bendaharawan Politeknik Negeri Sriwijaya</t>
  </si>
  <si>
    <t xml:space="preserve">Uang Sebesar                        </t>
  </si>
  <si>
    <t xml:space="preserve">Untuk Pembayaran                </t>
  </si>
  <si>
    <t xml:space="preserve">Biaya perjalanan dinas  </t>
  </si>
  <si>
    <t xml:space="preserve">Berdasarkan SPPD               </t>
  </si>
  <si>
    <t>Direktur Politeknik Negeri Sriwijaya</t>
  </si>
  <si>
    <t xml:space="preserve">Nomor                                     </t>
  </si>
  <si>
    <t xml:space="preserve">Tanggal                                   </t>
  </si>
  <si>
    <t xml:space="preserve">Untuk perjalanan dinas dari  </t>
  </si>
  <si>
    <t xml:space="preserve">Terbilang                                 </t>
  </si>
  <si>
    <t>Dibukukan tanggal</t>
  </si>
  <si>
    <t>Setuju dibayar</t>
  </si>
  <si>
    <t>Pejabat Pembuat Komitmen,</t>
  </si>
  <si>
    <t>KEMENTERIAN PENDIDIKAN,KEBUDAYAAN,</t>
  </si>
  <si>
    <t>RISET, DAN TEKNOLOGI</t>
  </si>
  <si>
    <t>POLITEKNIK NEGERI SRIWIJAYA</t>
  </si>
  <si>
    <t>Jalan Srijaya Negara Bukit Besar – Palembang 30139</t>
  </si>
  <si>
    <t>Telp. 0711-353414 Fax. 0711-355918</t>
  </si>
  <si>
    <t>Laman : http://polsri.ac.id, Pos El : info@polsri.ac.id</t>
  </si>
  <si>
    <t>SURAT PERNYATAAN</t>
  </si>
  <si>
    <t>Yang bertanda tangan di bawah ini :</t>
  </si>
  <si>
    <t>Nama</t>
  </si>
  <si>
    <t xml:space="preserve">Jabatan </t>
  </si>
  <si>
    <t>Bukti-bukti (Tiket / bukti transportasi, Boarding Pass, Kwitansi, Hotel bill / tagihan hotel dan sebagainya ) yang  dilampirkan  dalam  rangka melakukan perjalanan dinas  adalah bukti-bukti asli dan benar  yang dikeluarkan oleh perusahaan / instansi yang berwenang untuk menerbitkan bukti-bukti tesebut.</t>
  </si>
  <si>
    <t xml:space="preserve">2. </t>
  </si>
  <si>
    <t xml:space="preserve">Apabila  dikemudian  hari  terdapat  kesalahan  atau  temuan  dari  aparat  pengawasan fungsional, kami bersedia untuk mempertanggungjawabkannya </t>
  </si>
  <si>
    <t>Demikian  pernyataan  ini  kami  buat dengan  sebenarnya, untuk  dipertanggungjawabkan sebagaimana mestinya.</t>
  </si>
  <si>
    <t>Mengetahui/Menyetujui</t>
  </si>
  <si>
    <t xml:space="preserve">Palembang, </t>
  </si>
  <si>
    <t>an.Kuasa Pengguna Anggaran</t>
  </si>
  <si>
    <t>Yang melakukan Perjalanan dinas,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</si>
  <si>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</si>
  <si>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Tiket</t>
  </si>
  <si>
    <t xml:space="preserve">Transport Lokal </t>
  </si>
  <si>
    <t xml:space="preserve"> J U M L A H</t>
  </si>
  <si>
    <t>TERBILANG</t>
  </si>
  <si>
    <t>Mengetahui,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</si>
  <si>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</si>
  <si>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Tujuan ke</t>
  </si>
  <si>
    <t>I.</t>
  </si>
  <si>
    <t>Tiba di</t>
  </si>
  <si>
    <t>Berangkat dari</t>
  </si>
  <si>
    <t>Pada tanggal</t>
  </si>
  <si>
    <t>Kepala</t>
  </si>
  <si>
    <t xml:space="preserve">Bandung </t>
  </si>
  <si>
    <t>9 September 2024</t>
  </si>
  <si>
    <t xml:space="preserve">Direktur 
Protel Multi Energy
</t>
  </si>
  <si>
    <t xml:space="preserve">     Komarudin, S.T</t>
  </si>
  <si>
    <t xml:space="preserve">                196805141993031002</t>
  </si>
  <si>
    <t xml:space="preserve">Jakarta </t>
  </si>
  <si>
    <t>13 September 2024</t>
  </si>
  <si>
    <t>Transport Darat</t>
  </si>
  <si>
    <t>Rekening</t>
  </si>
  <si>
    <t xml:space="preserve">Darmawan, A.Md.           </t>
  </si>
  <si>
    <t>NIP. 198510242009121004</t>
  </si>
  <si>
    <t>DAFTAR NOMINATIF PEMBAYARAN PERJALANAN DINAS</t>
  </si>
  <si>
    <t>No.</t>
  </si>
  <si>
    <t>Tujuan</t>
  </si>
  <si>
    <t>Lama Perjalanan Dinas</t>
  </si>
  <si>
    <t>Biaya Perjalanan Dinas</t>
  </si>
  <si>
    <t>Transport</t>
  </si>
  <si>
    <t>Penginapan</t>
  </si>
  <si>
    <t>Uang Representasi</t>
  </si>
  <si>
    <t>Tanda
tangan</t>
  </si>
  <si>
    <t>Pangkat / 
Gol</t>
  </si>
  <si>
    <t>Uang
 Harian</t>
  </si>
  <si>
    <t>Yang Membayar,</t>
  </si>
  <si>
    <t>Yang Menerima,</t>
  </si>
  <si>
    <t>DAFTAR KONTROL PEMBAYARAN</t>
  </si>
  <si>
    <t>BIAYA PERJALANAN DINAS TIKET DAN PENGINAPAN</t>
  </si>
  <si>
    <t>BIAYA PERJALANAN DINAS UANG HARIAN DAN TRANSPORT LOKAL</t>
  </si>
  <si>
    <t>yang Membayar,</t>
  </si>
  <si>
    <t xml:space="preserve">        </t>
  </si>
  <si>
    <t xml:space="preserve">NIP. </t>
  </si>
  <si>
    <t xml:space="preserve">Transport 
Lokal </t>
  </si>
  <si>
    <t xml:space="preserve">    </t>
  </si>
  <si>
    <t xml:space="preserve">                     Dodi Oktavianto, S.E.</t>
  </si>
  <si>
    <t xml:space="preserve">   </t>
  </si>
  <si>
    <t>B</t>
  </si>
  <si>
    <t>A</t>
  </si>
  <si>
    <t>Transport Lokal/taksi (PP)</t>
  </si>
  <si>
    <t>Penata Tk. I/III/d</t>
  </si>
  <si>
    <t>No         :  02</t>
  </si>
  <si>
    <t>Pesawat</t>
  </si>
  <si>
    <t>Asmanidar, S.E.</t>
  </si>
  <si>
    <t xml:space="preserve">575901009468538
 (Darmawan)              </t>
  </si>
  <si>
    <t>Ir. Irawan Rusnadi, M.T.</t>
  </si>
  <si>
    <t>196702021994031004</t>
  </si>
  <si>
    <t>Pembina Utama Muda/IV/c</t>
  </si>
  <si>
    <t>Jakarta</t>
  </si>
  <si>
    <t>20-21/01/2026</t>
  </si>
  <si>
    <t>2 Hari</t>
  </si>
  <si>
    <t>197410221998022001</t>
  </si>
  <si>
    <t>Pembina Tk. I/IV/b</t>
  </si>
  <si>
    <t>197907222008011007</t>
  </si>
  <si>
    <t>196711191993032003</t>
  </si>
  <si>
    <t>Pembina Utama/IV/e</t>
  </si>
  <si>
    <t>Ir. Irawan Rusnadi, M.T.
ST No. 0361/PL6.4.2/ST/2026
Tanggal 15 Januari 2026</t>
  </si>
  <si>
    <t>Dr. Irma Salamah, S.T., M.TI.
ST No. 0361/PL6.4.2/ST/2026
Tanggal 15 Januari 2026</t>
  </si>
  <si>
    <t>Dr. Selamat Muslimin, S.T., M.Kom
ST No. 0361/PL6.4.2/ST/2026
Tanggal 15 Januari 2026</t>
  </si>
  <si>
    <t>Prof. Dr. Ir. Rusdianasari, M.Si
ST No. 0361/PL6.4.2/ST/2026
Tanggal 15 Januari 2026</t>
  </si>
  <si>
    <t>NIP. 197204051994032001</t>
  </si>
  <si>
    <t>MAK : 7732.DBA.001.053.C.525115(000039)</t>
  </si>
  <si>
    <t>Direktur</t>
  </si>
  <si>
    <r>
      <t xml:space="preserve">Mengikuti kegiatan </t>
    </r>
    <r>
      <rPr>
        <i/>
        <sz val="11"/>
        <color theme="1"/>
        <rFont val="Arial"/>
        <family val="2"/>
      </rPr>
      <t>Indonesia-Swiss Partnership to Advance Indonesia's Renewable Energy Workforce: Launch of Renewable Energy Skills Development (RESD) Phase 2</t>
    </r>
  </si>
  <si>
    <t>2 (Dua) Hari</t>
  </si>
  <si>
    <t>20 Januari 2026</t>
  </si>
  <si>
    <t>21 Januari 2026</t>
  </si>
  <si>
    <t>Dr. Irma Salamah, S.T.M.TI.</t>
  </si>
  <si>
    <t>Wakil Direktur IV</t>
  </si>
  <si>
    <t>Dr. Ir. Selamat Muslimin, S.T., M.Kom.</t>
  </si>
  <si>
    <t>Ketua Jurusan Teknik Elektro</t>
  </si>
  <si>
    <t>Prof. Dr. Ir. Rusdianasari, M.Si.</t>
  </si>
  <si>
    <t>KPS. Magister Terapan</t>
  </si>
  <si>
    <t>Tiket Palembang-Jakarta (PP)</t>
  </si>
  <si>
    <t>Uang Harian 2 (Dua) hari @ Rp 530.000,-</t>
  </si>
  <si>
    <t>Palembang-Jakarta</t>
  </si>
  <si>
    <t>Berdasarkan Surat Tugas tanggal 15 Januari 2026 Nomor: 0361/PL6.4.2/ST/2025 dengan ini kami menyatakan dengan sesungguhnya bahwa :</t>
  </si>
  <si>
    <t xml:space="preserve">                                               Palembang</t>
  </si>
  <si>
    <t xml:space="preserve">               Dodi Oktavianto, S.E.</t>
  </si>
  <si>
    <t xml:space="preserve">               NIP. 197810032008101001</t>
  </si>
  <si>
    <t xml:space="preserve">                                               Palembang         </t>
  </si>
  <si>
    <t xml:space="preserve">           Perencanaan, Keuangan &amp; Umum</t>
  </si>
  <si>
    <t xml:space="preserve">                        Perencanaan, Keuangan</t>
  </si>
  <si>
    <t xml:space="preserve">                        &amp; Umum</t>
  </si>
  <si>
    <t>Ni Ketut Nurhayati, S.E., MAP</t>
  </si>
  <si>
    <t xml:space="preserve">               Ni Ketut Nurhayati, S.E., MAP</t>
  </si>
  <si>
    <t xml:space="preserve">      197205292002122001</t>
  </si>
  <si>
    <t xml:space="preserve">                    197205292002122001</t>
  </si>
  <si>
    <t xml:space="preserve">           Palembang</t>
  </si>
  <si>
    <t xml:space="preserve">                                                Dodi Oktavianto, S.E.</t>
  </si>
  <si>
    <t xml:space="preserve">                             197810032008101001</t>
  </si>
  <si>
    <t xml:space="preserve">                                                   197810032008101001</t>
  </si>
  <si>
    <t>Tanggal :  3 Februari 2026</t>
  </si>
  <si>
    <t>Palembang, 3 Februari 2026</t>
  </si>
  <si>
    <t>15 Januari 2026</t>
  </si>
  <si>
    <t>Palembang, 15 Januari 2026</t>
  </si>
  <si>
    <t>22 Januari 2026</t>
  </si>
  <si>
    <t xml:space="preserve">                                               20 Januari 2026</t>
  </si>
  <si>
    <t xml:space="preserve">                                               Jakarta</t>
  </si>
  <si>
    <t xml:space="preserve">           Jakarta</t>
  </si>
  <si>
    <t xml:space="preserve">           20 Januari 2026</t>
  </si>
  <si>
    <t xml:space="preserve">                        21 Januari 2026
</t>
  </si>
  <si>
    <t xml:space="preserve">          21 Januari 2026</t>
  </si>
  <si>
    <t xml:space="preserve">9000007239669                 </t>
  </si>
  <si>
    <t xml:space="preserve">1130004025262                 </t>
  </si>
  <si>
    <t xml:space="preserve">1130006996569                 </t>
  </si>
  <si>
    <t>1130007386133</t>
  </si>
  <si>
    <t>: 3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</si>
</sst>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_);_(* \(#,##0\);_(* &quot;-&quot;??_);_(@_)"/>
    <numFmt numFmtId="166" formatCode="0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sz val="11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0"/>
      <name val="Tahoma"/>
      <family val="2"/>
    </font>
    <font>
      <u/>
      <sz val="10"/>
      <color theme="10"/>
      <name val="Arial"/>
      <family val="2"/>
    </font>
    <font>
      <sz val="10"/>
      <color rgb="FF00B0F0"/>
      <name val="Tahoma"/>
      <family val="2"/>
    </font>
    <font>
      <sz val="10"/>
      <color theme="10"/>
      <name val="Tahoma"/>
      <family val="2"/>
    </font>
    <font>
      <b/>
      <u/>
      <sz val="12"/>
      <name val="Tahoma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5"/>
      <name val="Arial"/>
      <family val="2"/>
    </font>
    <font>
      <b/>
      <sz val="11"/>
      <color theme="1"/>
      <name val="Arial"/>
      <family val="2"/>
    </font>
    <font>
      <sz val="12"/>
      <color rgb="FFFF0000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13"/>
      <color theme="1"/>
      <name val="Arial"/>
      <family val="2"/>
    </font>
    <font>
      <sz val="15"/>
      <color theme="1"/>
      <name val="Arial"/>
      <family val="2"/>
    </font>
    <font>
      <b/>
      <sz val="16"/>
      <name val="Arial"/>
      <family val="2"/>
    </font>
    <font>
      <b/>
      <sz val="15"/>
      <name val="Arial"/>
      <family val="2"/>
    </font>
    <font>
      <sz val="15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2"/>
      <color theme="0"/>
      <name val="Calibri"/>
      <family val="2"/>
    </font>
    <font>
      <b/>
      <u/>
      <sz val="18"/>
      <color rgb="FF000000"/>
      <name val="Tahoma"/>
      <family val="2"/>
    </font>
    <font>
      <sz val="18"/>
      <color theme="1"/>
      <name val="Arial"/>
      <family val="2"/>
    </font>
    <font>
      <b/>
      <u/>
      <sz val="24"/>
      <color theme="1"/>
      <name val="Arial"/>
      <family val="2"/>
    </font>
    <font>
      <u/>
      <sz val="24"/>
      <color theme="1"/>
      <name val="Arial"/>
      <family val="2"/>
    </font>
    <font>
      <b/>
      <u/>
      <sz val="24"/>
      <name val="Arial"/>
      <family val="2"/>
    </font>
    <font>
      <b/>
      <sz val="24"/>
      <name val="Arial"/>
      <family val="2"/>
    </font>
    <font>
      <b/>
      <sz val="19"/>
      <color theme="1"/>
      <name val="Arial"/>
      <family val="2"/>
    </font>
    <font>
      <sz val="19"/>
      <color theme="1"/>
      <name val="Arial"/>
      <family val="2"/>
    </font>
    <font>
      <b/>
      <sz val="19"/>
      <name val="Arial"/>
      <family val="2"/>
    </font>
    <font>
      <sz val="19"/>
      <name val="Arial"/>
      <family val="2"/>
    </font>
    <font>
      <b/>
      <sz val="19"/>
      <color rgb="FF000000"/>
      <name val="Arial"/>
      <family val="2"/>
    </font>
    <font>
      <i/>
      <sz val="11"/>
      <color theme="1"/>
      <name val="Arial"/>
      <family val="2"/>
    </font>
    <font>
      <sz val="18"/>
      <name val="Arial"/>
      <family val="2"/>
    </font>
    <font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5">
    <xf numFmtId="0" fontId="0" fillId="0" borderId="0" xfId="0"/>
    <xf numFmtId="0" fontId="3" fillId="0" borderId="8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8" fillId="0" borderId="0" xfId="3" applyFont="1" applyFill="1" applyAlignment="1" applyProtection="1"/>
    <xf numFmtId="0" fontId="8" fillId="0" borderId="0" xfId="3" applyFont="1" applyFill="1" applyAlignment="1" applyProtection="1">
      <alignment horizontal="center"/>
    </xf>
    <xf numFmtId="0" fontId="9" fillId="0" borderId="0" xfId="3" applyFont="1" applyAlignment="1" applyProtection="1"/>
    <xf numFmtId="0" fontId="4" fillId="0" borderId="12" xfId="0" applyFont="1" applyBorder="1" applyAlignment="1">
      <alignment vertical="center"/>
    </xf>
    <xf numFmtId="0" fontId="9" fillId="0" borderId="12" xfId="3" applyFont="1" applyBorder="1" applyAlignment="1" applyProtection="1">
      <alignment horizontal="center"/>
    </xf>
    <xf numFmtId="0" fontId="9" fillId="0" borderId="0" xfId="3" applyFont="1" applyBorder="1" applyAlignment="1" applyProtection="1">
      <alignment horizontal="center"/>
    </xf>
    <xf numFmtId="0" fontId="6" fillId="0" borderId="0" xfId="0" applyFont="1" applyAlignment="1">
      <alignment vertical="center"/>
    </xf>
    <xf numFmtId="1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" fontId="5" fillId="0" borderId="0" xfId="0" quotePrefix="1" applyNumberFormat="1" applyFont="1" applyAlignment="1">
      <alignment horizontal="left" vertical="center"/>
    </xf>
    <xf numFmtId="0" fontId="5" fillId="2" borderId="0" xfId="0" quotePrefix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0" borderId="0" xfId="0" quotePrefix="1" applyFont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14" xfId="0" applyFont="1" applyBorder="1" applyAlignment="1">
      <alignment horizontal="center"/>
    </xf>
    <xf numFmtId="0" fontId="11" fillId="0" borderId="14" xfId="0" applyFont="1" applyBorder="1"/>
    <xf numFmtId="0" fontId="11" fillId="0" borderId="0" xfId="0" applyFont="1" applyAlignment="1">
      <alignment horizontal="center" vertical="justify"/>
    </xf>
    <xf numFmtId="0" fontId="11" fillId="0" borderId="0" xfId="0" applyFont="1" applyAlignment="1">
      <alignment vertical="justify"/>
    </xf>
    <xf numFmtId="0" fontId="11" fillId="0" borderId="0" xfId="0" applyFont="1" applyAlignment="1">
      <alignment horizontal="left" vertical="justify"/>
    </xf>
    <xf numFmtId="0" fontId="3" fillId="0" borderId="0" xfId="0" applyFont="1" applyAlignment="1">
      <alignment horizontal="left" vertical="center"/>
    </xf>
    <xf numFmtId="49" fontId="3" fillId="0" borderId="0" xfId="0" quotePrefix="1" applyNumberFormat="1" applyFont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0" xfId="0" applyFont="1" applyBorder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3" fillId="0" borderId="0" xfId="0" applyFont="1" applyAlignment="1">
      <alignment vertical="justify"/>
    </xf>
    <xf numFmtId="0" fontId="3" fillId="0" borderId="9" xfId="0" applyFont="1" applyBorder="1" applyAlignment="1">
      <alignment vertical="center"/>
    </xf>
    <xf numFmtId="0" fontId="13" fillId="0" borderId="6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/>
    <xf numFmtId="0" fontId="12" fillId="0" borderId="0" xfId="0" applyFont="1" applyAlignment="1">
      <alignment horizontal="left"/>
    </xf>
    <xf numFmtId="0" fontId="12" fillId="0" borderId="0" xfId="0" applyFont="1"/>
    <xf numFmtId="15" fontId="12" fillId="0" borderId="0" xfId="0" applyNumberFormat="1" applyFont="1" applyAlignment="1">
      <alignment vertical="justify"/>
    </xf>
    <xf numFmtId="0" fontId="3" fillId="0" borderId="0" xfId="0" quotePrefix="1" applyFont="1" applyAlignment="1">
      <alignment horizontal="left" vertical="center"/>
    </xf>
    <xf numFmtId="0" fontId="14" fillId="0" borderId="0" xfId="0" quotePrefix="1" applyFont="1"/>
    <xf numFmtId="0" fontId="15" fillId="0" borderId="0" xfId="0" applyFont="1"/>
    <xf numFmtId="0" fontId="16" fillId="0" borderId="0" xfId="0" applyFont="1"/>
    <xf numFmtId="41" fontId="16" fillId="0" borderId="0" xfId="2" applyFont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Continuous"/>
    </xf>
    <xf numFmtId="49" fontId="16" fillId="0" borderId="0" xfId="0" applyNumberFormat="1" applyFont="1" applyAlignment="1">
      <alignment horizontal="left"/>
    </xf>
    <xf numFmtId="0" fontId="17" fillId="0" borderId="0" xfId="0" applyFont="1" applyAlignment="1">
      <alignment horizontal="centerContinuous"/>
    </xf>
    <xf numFmtId="0" fontId="16" fillId="0" borderId="12" xfId="0" applyFont="1" applyBorder="1"/>
    <xf numFmtId="0" fontId="17" fillId="0" borderId="12" xfId="0" applyFont="1" applyBorder="1"/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Continuous"/>
    </xf>
    <xf numFmtId="0" fontId="16" fillId="0" borderId="17" xfId="0" applyFont="1" applyBorder="1" applyAlignment="1">
      <alignment horizontal="centerContinuous"/>
    </xf>
    <xf numFmtId="0" fontId="16" fillId="0" borderId="16" xfId="0" applyFont="1" applyBorder="1" applyAlignment="1">
      <alignment horizontal="center"/>
    </xf>
    <xf numFmtId="0" fontId="16" fillId="0" borderId="17" xfId="0" applyFont="1" applyBorder="1"/>
    <xf numFmtId="0" fontId="16" fillId="0" borderId="18" xfId="0" applyFont="1" applyBorder="1"/>
    <xf numFmtId="0" fontId="16" fillId="0" borderId="13" xfId="0" applyFont="1" applyBorder="1"/>
    <xf numFmtId="0" fontId="16" fillId="0" borderId="18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9" xfId="0" applyFont="1" applyBorder="1"/>
    <xf numFmtId="0" fontId="16" fillId="0" borderId="15" xfId="0" applyFont="1" applyBorder="1"/>
    <xf numFmtId="0" fontId="16" fillId="0" borderId="16" xfId="0" applyFont="1" applyBorder="1"/>
    <xf numFmtId="0" fontId="16" fillId="0" borderId="5" xfId="0" applyFont="1" applyBorder="1" applyAlignment="1">
      <alignment horizontal="center"/>
    </xf>
    <xf numFmtId="42" fontId="16" fillId="0" borderId="15" xfId="0" applyNumberFormat="1" applyFont="1" applyBorder="1"/>
    <xf numFmtId="42" fontId="16" fillId="0" borderId="0" xfId="0" applyNumberFormat="1" applyFont="1"/>
    <xf numFmtId="0" fontId="16" fillId="0" borderId="0" xfId="0" applyFont="1" applyAlignment="1">
      <alignment horizontal="right"/>
    </xf>
    <xf numFmtId="165" fontId="16" fillId="0" borderId="0" xfId="1" applyNumberFormat="1" applyFont="1" applyBorder="1" applyAlignment="1">
      <alignment horizontal="center"/>
    </xf>
    <xf numFmtId="165" fontId="16" fillId="0" borderId="6" xfId="0" applyNumberFormat="1" applyFont="1" applyBorder="1"/>
    <xf numFmtId="0" fontId="16" fillId="0" borderId="11" xfId="0" applyFont="1" applyBorder="1"/>
    <xf numFmtId="165" fontId="16" fillId="0" borderId="12" xfId="1" applyNumberFormat="1" applyFont="1" applyBorder="1"/>
    <xf numFmtId="41" fontId="16" fillId="0" borderId="18" xfId="2" applyFont="1" applyBorder="1"/>
    <xf numFmtId="41" fontId="16" fillId="0" borderId="13" xfId="2" applyFont="1" applyBorder="1"/>
    <xf numFmtId="0" fontId="15" fillId="0" borderId="15" xfId="0" applyFont="1" applyBorder="1"/>
    <xf numFmtId="41" fontId="16" fillId="0" borderId="0" xfId="2" applyFont="1" applyBorder="1"/>
    <xf numFmtId="0" fontId="16" fillId="0" borderId="20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165" fontId="17" fillId="0" borderId="21" xfId="1" applyNumberFormat="1" applyFont="1" applyBorder="1" applyAlignment="1">
      <alignment horizontal="center"/>
    </xf>
    <xf numFmtId="41" fontId="16" fillId="0" borderId="20" xfId="2" applyFont="1" applyBorder="1"/>
    <xf numFmtId="41" fontId="16" fillId="0" borderId="22" xfId="2" applyFont="1" applyBorder="1"/>
    <xf numFmtId="0" fontId="17" fillId="0" borderId="0" xfId="0" applyFont="1"/>
    <xf numFmtId="41" fontId="17" fillId="0" borderId="6" xfId="2" applyFont="1" applyBorder="1"/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6" fillId="0" borderId="14" xfId="0" applyFont="1" applyBorder="1"/>
    <xf numFmtId="49" fontId="16" fillId="0" borderId="0" xfId="0" applyNumberFormat="1" applyFont="1"/>
    <xf numFmtId="165" fontId="17" fillId="0" borderId="0" xfId="0" applyNumberFormat="1" applyFont="1"/>
    <xf numFmtId="165" fontId="16" fillId="0" borderId="0" xfId="1" applyNumberFormat="1" applyFont="1" applyBorder="1" applyAlignment="1">
      <alignment horizontal="left"/>
    </xf>
    <xf numFmtId="165" fontId="17" fillId="0" borderId="0" xfId="1" applyNumberFormat="1" applyFont="1" applyBorder="1"/>
    <xf numFmtId="0" fontId="16" fillId="0" borderId="0" xfId="0" quotePrefix="1" applyFont="1"/>
    <xf numFmtId="0" fontId="10" fillId="0" borderId="0" xfId="0" applyFont="1" applyAlignment="1">
      <alignment horizontal="center"/>
    </xf>
    <xf numFmtId="165" fontId="17" fillId="0" borderId="0" xfId="0" applyNumberFormat="1" applyFont="1" applyAlignment="1">
      <alignment horizontal="left"/>
    </xf>
    <xf numFmtId="165" fontId="17" fillId="0" borderId="12" xfId="0" applyNumberFormat="1" applyFont="1" applyBorder="1"/>
    <xf numFmtId="165" fontId="17" fillId="0" borderId="12" xfId="0" applyNumberFormat="1" applyFont="1" applyBorder="1" applyAlignment="1">
      <alignment horizontal="left"/>
    </xf>
    <xf numFmtId="0" fontId="17" fillId="0" borderId="0" xfId="0" quotePrefix="1" applyFont="1" applyAlignment="1">
      <alignment horizontal="left"/>
    </xf>
    <xf numFmtId="0" fontId="10" fillId="0" borderId="0" xfId="0" applyFont="1"/>
    <xf numFmtId="165" fontId="16" fillId="0" borderId="0" xfId="0" applyNumberFormat="1" applyFont="1"/>
    <xf numFmtId="0" fontId="15" fillId="0" borderId="0" xfId="0" applyFont="1" applyAlignment="1">
      <alignment vertical="center"/>
    </xf>
    <xf numFmtId="0" fontId="18" fillId="0" borderId="0" xfId="0" applyFont="1"/>
    <xf numFmtId="0" fontId="16" fillId="0" borderId="6" xfId="0" applyFont="1" applyBorder="1" applyAlignment="1">
      <alignment horizontal="center"/>
    </xf>
    <xf numFmtId="0" fontId="19" fillId="0" borderId="0" xfId="0" applyFont="1"/>
    <xf numFmtId="0" fontId="17" fillId="0" borderId="21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165" fontId="16" fillId="0" borderId="13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/>
    <xf numFmtId="0" fontId="25" fillId="0" borderId="2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0" borderId="28" xfId="0" applyFont="1" applyBorder="1" applyAlignment="1">
      <alignment horizontal="center" vertical="center" wrapText="1"/>
    </xf>
    <xf numFmtId="41" fontId="25" fillId="0" borderId="7" xfId="2" applyFont="1" applyBorder="1" applyAlignment="1">
      <alignment horizontal="center" vertical="center" wrapText="1"/>
    </xf>
    <xf numFmtId="0" fontId="23" fillId="0" borderId="23" xfId="0" applyFont="1" applyBorder="1"/>
    <xf numFmtId="41" fontId="23" fillId="0" borderId="23" xfId="2" applyFont="1" applyBorder="1"/>
    <xf numFmtId="1" fontId="24" fillId="0" borderId="28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left" vertical="center" wrapText="1"/>
    </xf>
    <xf numFmtId="0" fontId="23" fillId="0" borderId="28" xfId="0" applyFont="1" applyBorder="1" applyAlignment="1">
      <alignment horizontal="center" vertical="center"/>
    </xf>
    <xf numFmtId="14" fontId="23" fillId="0" borderId="28" xfId="0" applyNumberFormat="1" applyFont="1" applyBorder="1" applyAlignment="1">
      <alignment horizontal="center" vertical="center" wrapText="1"/>
    </xf>
    <xf numFmtId="41" fontId="23" fillId="0" borderId="28" xfId="2" applyFont="1" applyBorder="1" applyAlignment="1">
      <alignment horizontal="center" vertical="center"/>
    </xf>
    <xf numFmtId="41" fontId="24" fillId="0" borderId="28" xfId="2" applyFont="1" applyFill="1" applyBorder="1" applyAlignment="1">
      <alignment horizontal="center" vertical="center"/>
    </xf>
    <xf numFmtId="41" fontId="20" fillId="0" borderId="28" xfId="0" applyNumberFormat="1" applyFont="1" applyBorder="1" applyAlignment="1">
      <alignment vertical="center"/>
    </xf>
    <xf numFmtId="164" fontId="20" fillId="0" borderId="27" xfId="0" applyNumberFormat="1" applyFont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5" fontId="20" fillId="0" borderId="0" xfId="1" applyNumberFormat="1" applyFont="1" applyFill="1" applyBorder="1" applyAlignment="1">
      <alignment vertical="center"/>
    </xf>
    <xf numFmtId="0" fontId="24" fillId="0" borderId="0" xfId="0" applyFont="1"/>
    <xf numFmtId="0" fontId="24" fillId="0" borderId="26" xfId="0" applyFont="1" applyBorder="1" applyAlignment="1">
      <alignment horizontal="left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41" fontId="24" fillId="0" borderId="0" xfId="2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41" fontId="22" fillId="0" borderId="0" xfId="2" applyFont="1" applyFill="1" applyBorder="1" applyAlignment="1">
      <alignment vertical="center"/>
    </xf>
    <xf numFmtId="166" fontId="24" fillId="0" borderId="0" xfId="0" applyNumberFormat="1" applyFont="1" applyAlignment="1">
      <alignment horizontal="left" vertical="center"/>
    </xf>
    <xf numFmtId="0" fontId="26" fillId="0" borderId="0" xfId="0" applyFont="1"/>
    <xf numFmtId="0" fontId="27" fillId="0" borderId="0" xfId="0" applyFont="1"/>
    <xf numFmtId="0" fontId="29" fillId="0" borderId="0" xfId="0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top"/>
    </xf>
    <xf numFmtId="0" fontId="30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30" fillId="0" borderId="0" xfId="0" applyFont="1"/>
    <xf numFmtId="49" fontId="27" fillId="0" borderId="0" xfId="0" applyNumberFormat="1" applyFont="1"/>
    <xf numFmtId="49" fontId="27" fillId="0" borderId="0" xfId="0" quotePrefix="1" applyNumberFormat="1" applyFont="1"/>
    <xf numFmtId="0" fontId="31" fillId="0" borderId="0" xfId="0" applyFont="1"/>
    <xf numFmtId="0" fontId="31" fillId="0" borderId="0" xfId="0" applyFont="1" applyAlignment="1">
      <alignment horizontal="center"/>
    </xf>
    <xf numFmtId="0" fontId="27" fillId="0" borderId="0" xfId="0" quotePrefix="1" applyFont="1"/>
    <xf numFmtId="0" fontId="26" fillId="2" borderId="0" xfId="0" applyFont="1" applyFill="1" applyAlignment="1">
      <alignment vertical="center"/>
    </xf>
    <xf numFmtId="0" fontId="26" fillId="0" borderId="0" xfId="0" applyFont="1" applyAlignment="1">
      <alignment vertical="justify"/>
    </xf>
    <xf numFmtId="0" fontId="30" fillId="0" borderId="0" xfId="0" applyFont="1" applyAlignment="1">
      <alignment horizontal="center"/>
    </xf>
    <xf numFmtId="0" fontId="28" fillId="0" borderId="0" xfId="0" applyFont="1"/>
    <xf numFmtId="41" fontId="23" fillId="0" borderId="28" xfId="0" applyNumberFormat="1" applyFont="1" applyBorder="1" applyAlignment="1">
      <alignment horizontal="center" vertical="center"/>
    </xf>
    <xf numFmtId="41" fontId="25" fillId="0" borderId="7" xfId="2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/>
    <xf numFmtId="0" fontId="23" fillId="0" borderId="28" xfId="0" applyFont="1" applyBorder="1" applyAlignment="1">
      <alignment horizontal="center" vertical="center" wrapText="1"/>
    </xf>
    <xf numFmtId="41" fontId="25" fillId="0" borderId="28" xfId="2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3" fillId="0" borderId="28" xfId="0" quotePrefix="1" applyFont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6" fillId="2" borderId="0" xfId="0" quotePrefix="1" applyFont="1" applyFill="1"/>
    <xf numFmtId="41" fontId="24" fillId="0" borderId="28" xfId="4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40" fillId="0" borderId="28" xfId="0" applyFont="1" applyBorder="1" applyAlignment="1">
      <alignment horizontal="center" vertical="center" wrapText="1"/>
    </xf>
    <xf numFmtId="41" fontId="38" fillId="0" borderId="7" xfId="2" applyFont="1" applyBorder="1" applyAlignment="1">
      <alignment horizontal="center" vertical="center" wrapText="1"/>
    </xf>
    <xf numFmtId="41" fontId="38" fillId="0" borderId="7" xfId="2" applyFont="1" applyBorder="1" applyAlignment="1">
      <alignment horizontal="center" vertical="center"/>
    </xf>
    <xf numFmtId="0" fontId="39" fillId="0" borderId="0" xfId="0" applyFont="1"/>
    <xf numFmtId="0" fontId="39" fillId="0" borderId="23" xfId="0" applyFont="1" applyBorder="1"/>
    <xf numFmtId="41" fontId="39" fillId="0" borderId="23" xfId="2" applyFont="1" applyBorder="1"/>
    <xf numFmtId="0" fontId="39" fillId="0" borderId="28" xfId="0" applyFont="1" applyBorder="1"/>
    <xf numFmtId="1" fontId="41" fillId="0" borderId="28" xfId="0" applyNumberFormat="1" applyFont="1" applyBorder="1" applyAlignment="1">
      <alignment horizontal="center" vertical="center"/>
    </xf>
    <xf numFmtId="0" fontId="39" fillId="0" borderId="28" xfId="0" applyFont="1" applyBorder="1" applyAlignment="1">
      <alignment horizontal="left" vertical="center" wrapText="1"/>
    </xf>
    <xf numFmtId="0" fontId="39" fillId="0" borderId="28" xfId="0" quotePrefix="1" applyFont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/>
    </xf>
    <xf numFmtId="14" fontId="39" fillId="0" borderId="28" xfId="0" applyNumberFormat="1" applyFont="1" applyBorder="1" applyAlignment="1">
      <alignment horizontal="center" vertical="center" wrapText="1"/>
    </xf>
    <xf numFmtId="41" fontId="41" fillId="0" borderId="28" xfId="4" applyNumberFormat="1" applyFont="1" applyBorder="1" applyAlignment="1">
      <alignment horizontal="center" vertical="center"/>
    </xf>
    <xf numFmtId="41" fontId="39" fillId="0" borderId="28" xfId="0" applyNumberFormat="1" applyFont="1" applyBorder="1" applyAlignment="1">
      <alignment horizontal="center" vertical="center"/>
    </xf>
    <xf numFmtId="41" fontId="39" fillId="0" borderId="28" xfId="2" applyFont="1" applyBorder="1" applyAlignment="1">
      <alignment horizontal="center" vertical="center"/>
    </xf>
    <xf numFmtId="41" fontId="41" fillId="0" borderId="28" xfId="2" applyFont="1" applyFill="1" applyBorder="1" applyAlignment="1">
      <alignment horizontal="center" vertical="center"/>
    </xf>
    <xf numFmtId="0" fontId="42" fillId="0" borderId="7" xfId="0" applyFont="1" applyBorder="1" applyAlignment="1">
      <alignment horizontal="center" vertical="center" wrapText="1"/>
    </xf>
    <xf numFmtId="0" fontId="42" fillId="0" borderId="9" xfId="0" applyFont="1" applyBorder="1"/>
    <xf numFmtId="0" fontId="42" fillId="0" borderId="28" xfId="0" applyFont="1" applyBorder="1"/>
    <xf numFmtId="41" fontId="40" fillId="0" borderId="28" xfId="0" applyNumberFormat="1" applyFont="1" applyBorder="1" applyAlignment="1">
      <alignment vertical="center"/>
    </xf>
    <xf numFmtId="164" fontId="40" fillId="0" borderId="27" xfId="0" applyNumberFormat="1" applyFont="1" applyBorder="1" applyAlignment="1">
      <alignment horizontal="center" vertical="center"/>
    </xf>
    <xf numFmtId="164" fontId="40" fillId="0" borderId="0" xfId="0" applyNumberFormat="1" applyFont="1" applyAlignment="1">
      <alignment horizontal="center" vertical="center"/>
    </xf>
    <xf numFmtId="164" fontId="41" fillId="0" borderId="0" xfId="0" applyNumberFormat="1" applyFont="1" applyAlignment="1">
      <alignment horizontal="center" vertical="center"/>
    </xf>
    <xf numFmtId="165" fontId="40" fillId="0" borderId="0" xfId="1" applyNumberFormat="1" applyFont="1" applyFill="1" applyBorder="1" applyAlignment="1">
      <alignment vertical="center"/>
    </xf>
    <xf numFmtId="0" fontId="41" fillId="0" borderId="0" xfId="0" applyFont="1"/>
    <xf numFmtId="0" fontId="40" fillId="0" borderId="26" xfId="0" applyFont="1" applyBorder="1" applyAlignment="1">
      <alignment horizontal="center" vertical="center"/>
    </xf>
    <xf numFmtId="0" fontId="41" fillId="0" borderId="26" xfId="0" applyFont="1" applyBorder="1" applyAlignment="1">
      <alignment horizontal="left" vertical="center"/>
    </xf>
    <xf numFmtId="0" fontId="39" fillId="0" borderId="32" xfId="0" applyFont="1" applyBorder="1" applyAlignment="1">
      <alignment horizontal="center" vertical="center"/>
    </xf>
    <xf numFmtId="0" fontId="39" fillId="0" borderId="32" xfId="0" applyFont="1" applyBorder="1"/>
    <xf numFmtId="42" fontId="41" fillId="0" borderId="28" xfId="4" applyFont="1" applyBorder="1" applyAlignment="1">
      <alignment horizontal="center" vertical="center"/>
    </xf>
    <xf numFmtId="41" fontId="39" fillId="0" borderId="28" xfId="5" applyNumberFormat="1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/>
    </xf>
    <xf numFmtId="1" fontId="38" fillId="2" borderId="28" xfId="0" applyNumberFormat="1" applyFont="1" applyFill="1" applyBorder="1" applyAlignment="1">
      <alignment horizontal="center" vertical="center" wrapText="1"/>
    </xf>
    <xf numFmtId="42" fontId="16" fillId="0" borderId="15" xfId="0" applyNumberFormat="1" applyFont="1" applyBorder="1" applyAlignment="1"/>
    <xf numFmtId="42" fontId="16" fillId="0" borderId="0" xfId="0" applyNumberFormat="1" applyFont="1" applyAlignment="1"/>
    <xf numFmtId="0" fontId="16" fillId="0" borderId="0" xfId="0" applyFont="1" applyAlignment="1"/>
    <xf numFmtId="0" fontId="16" fillId="0" borderId="15" xfId="0" applyFont="1" applyBorder="1" applyAlignment="1"/>
    <xf numFmtId="165" fontId="16" fillId="0" borderId="0" xfId="1" applyNumberFormat="1" applyFont="1" applyBorder="1" applyAlignment="1"/>
    <xf numFmtId="0" fontId="16" fillId="0" borderId="6" xfId="0" applyFont="1" applyBorder="1" applyAlignment="1"/>
    <xf numFmtId="0" fontId="15" fillId="0" borderId="0" xfId="0" applyFont="1" applyAlignment="1"/>
    <xf numFmtId="42" fontId="16" fillId="0" borderId="0" xfId="4" applyFont="1" applyAlignment="1"/>
    <xf numFmtId="41" fontId="16" fillId="0" borderId="0" xfId="2" applyFont="1" applyAlignment="1"/>
    <xf numFmtId="41" fontId="16" fillId="0" borderId="0" xfId="4" applyNumberFormat="1" applyFont="1" applyAlignment="1"/>
    <xf numFmtId="42" fontId="15" fillId="0" borderId="0" xfId="4" applyFont="1" applyAlignment="1"/>
    <xf numFmtId="165" fontId="16" fillId="0" borderId="6" xfId="1" applyNumberFormat="1" applyFont="1" applyBorder="1" applyAlignment="1">
      <alignment horizontal="center"/>
    </xf>
    <xf numFmtId="165" fontId="16" fillId="0" borderId="6" xfId="0" applyNumberFormat="1" applyFont="1" applyBorder="1" applyAlignment="1"/>
    <xf numFmtId="49" fontId="26" fillId="0" borderId="0" xfId="0" quotePrefix="1" applyNumberFormat="1" applyFont="1" applyAlignment="1">
      <alignment vertical="top" wrapText="1"/>
    </xf>
    <xf numFmtId="0" fontId="28" fillId="0" borderId="0" xfId="0" applyFont="1" applyAlignment="1">
      <alignment vertical="center"/>
    </xf>
    <xf numFmtId="49" fontId="26" fillId="0" borderId="0" xfId="0" quotePrefix="1" applyNumberFormat="1" applyFont="1" applyAlignment="1">
      <alignment horizontal="left" vertical="center"/>
    </xf>
    <xf numFmtId="0" fontId="27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center"/>
    </xf>
    <xf numFmtId="0" fontId="20" fillId="0" borderId="26" xfId="0" applyFont="1" applyBorder="1" applyAlignment="1">
      <alignment horizontal="center" vertical="center"/>
    </xf>
    <xf numFmtId="0" fontId="27" fillId="0" borderId="0" xfId="0" quotePrefix="1" applyFont="1" applyAlignment="1">
      <alignment vertical="top"/>
    </xf>
    <xf numFmtId="49" fontId="27" fillId="0" borderId="0" xfId="0" applyNumberFormat="1" applyFont="1" applyAlignment="1">
      <alignment vertical="top"/>
    </xf>
    <xf numFmtId="49" fontId="27" fillId="0" borderId="0" xfId="0" quotePrefix="1" applyNumberFormat="1" applyFont="1" applyAlignment="1">
      <alignment vertical="top"/>
    </xf>
    <xf numFmtId="0" fontId="12" fillId="0" borderId="0" xfId="0" applyFont="1" applyAlignment="1">
      <alignment horizontal="left" vertical="justify"/>
    </xf>
    <xf numFmtId="0" fontId="2" fillId="0" borderId="0" xfId="0" applyFont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3" fillId="0" borderId="6" xfId="0" quotePrefix="1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26" xfId="0" applyFont="1" applyBorder="1" applyAlignment="1">
      <alignment horizontal="left" vertical="center" wrapText="1"/>
    </xf>
    <xf numFmtId="0" fontId="40" fillId="0" borderId="27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166" fontId="22" fillId="0" borderId="0" xfId="0" applyNumberFormat="1" applyFont="1" applyAlignment="1">
      <alignment horizontal="left" vertical="center"/>
    </xf>
    <xf numFmtId="0" fontId="38" fillId="0" borderId="23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166" fontId="24" fillId="0" borderId="0" xfId="0" applyNumberFormat="1" applyFont="1" applyAlignment="1">
      <alignment horizontal="left" vertical="center"/>
    </xf>
    <xf numFmtId="0" fontId="20" fillId="0" borderId="26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6" fillId="0" borderId="0" xfId="0" quotePrefix="1" applyFont="1" applyAlignment="1">
      <alignment horizontal="left"/>
    </xf>
    <xf numFmtId="49" fontId="26" fillId="0" borderId="0" xfId="0" quotePrefix="1" applyNumberFormat="1" applyFont="1" applyAlignment="1">
      <alignment horizontal="left" vertical="center"/>
    </xf>
    <xf numFmtId="0" fontId="27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top" wrapText="1"/>
    </xf>
    <xf numFmtId="49" fontId="28" fillId="0" borderId="0" xfId="0" quotePrefix="1" applyNumberFormat="1" applyFont="1" applyAlignment="1">
      <alignment horizontal="left" vertical="top"/>
    </xf>
    <xf numFmtId="0" fontId="28" fillId="0" borderId="0" xfId="0" applyFont="1" applyAlignment="1">
      <alignment horizontal="left"/>
    </xf>
    <xf numFmtId="15" fontId="26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justify"/>
    </xf>
    <xf numFmtId="0" fontId="26" fillId="0" borderId="0" xfId="0" applyFont="1" applyAlignment="1">
      <alignment horizontal="left"/>
    </xf>
    <xf numFmtId="0" fontId="26" fillId="0" borderId="0" xfId="0" quotePrefix="1" applyFont="1" applyAlignment="1">
      <alignment vertical="center"/>
    </xf>
    <xf numFmtId="0" fontId="27" fillId="0" borderId="0" xfId="0" applyFont="1" applyAlignment="1">
      <alignment horizontal="left" vertical="top"/>
    </xf>
    <xf numFmtId="49" fontId="26" fillId="0" borderId="0" xfId="0" quotePrefix="1" applyNumberFormat="1" applyFont="1" applyAlignment="1">
      <alignment horizontal="left"/>
    </xf>
    <xf numFmtId="0" fontId="44" fillId="0" borderId="0" xfId="0" applyFont="1"/>
    <xf numFmtId="0" fontId="44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42" fontId="44" fillId="0" borderId="0" xfId="4" applyFont="1"/>
    <xf numFmtId="42" fontId="44" fillId="0" borderId="0" xfId="4" applyFont="1" applyAlignment="1">
      <alignment horizontal="center"/>
    </xf>
    <xf numFmtId="42" fontId="44" fillId="0" borderId="0" xfId="0" applyNumberFormat="1" applyFont="1"/>
    <xf numFmtId="0" fontId="44" fillId="0" borderId="29" xfId="0" applyFont="1" applyBorder="1"/>
    <xf numFmtId="0" fontId="33" fillId="0" borderId="0" xfId="0" applyFont="1" applyAlignment="1">
      <alignment horizontal="left"/>
    </xf>
    <xf numFmtId="0" fontId="45" fillId="0" borderId="0" xfId="0" applyFont="1"/>
  </cellXfs>
  <cellStyles count="6">
    <cellStyle name="Comma" xfId="1" builtinId="3"/>
    <cellStyle name="Comma [0]" xfId="2" builtinId="6"/>
    <cellStyle name="Currency" xfId="5" builtinId="4"/>
    <cellStyle name="Currency [0]" xfId="4" builtinId="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2</xdr:col>
      <xdr:colOff>95250</xdr:colOff>
      <xdr:row>38</xdr:row>
      <xdr:rowOff>0</xdr:rowOff>
    </xdr:to>
    <xdr:pic>
      <xdr:nvPicPr>
        <xdr:cNvPr id="2" name="Picture 2" descr="D:\Unduhan\logo iso.png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8725"/>
          <a:ext cx="762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0</xdr:row>
      <xdr:rowOff>57150</xdr:rowOff>
    </xdr:from>
    <xdr:to>
      <xdr:col>6</xdr:col>
      <xdr:colOff>0</xdr:colOff>
      <xdr:row>5</xdr:row>
      <xdr:rowOff>219075</xdr:rowOff>
    </xdr:to>
    <xdr:pic>
      <xdr:nvPicPr>
        <xdr:cNvPr id="3" name="Picture 0" descr="logo BW Polsri.jpg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57150"/>
          <a:ext cx="122872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2</xdr:col>
      <xdr:colOff>95250</xdr:colOff>
      <xdr:row>38</xdr:row>
      <xdr:rowOff>0</xdr:rowOff>
    </xdr:to>
    <xdr:pic>
      <xdr:nvPicPr>
        <xdr:cNvPr id="2" name="Picture 2" descr="D:\Unduhan\logo iso.png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8725"/>
          <a:ext cx="762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0</xdr:row>
      <xdr:rowOff>57150</xdr:rowOff>
    </xdr:from>
    <xdr:to>
      <xdr:col>6</xdr:col>
      <xdr:colOff>0</xdr:colOff>
      <xdr:row>5</xdr:row>
      <xdr:rowOff>219075</xdr:rowOff>
    </xdr:to>
    <xdr:pic>
      <xdr:nvPicPr>
        <xdr:cNvPr id="3" name="Picture 0" descr="logo BW Polsri.jpg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57150"/>
          <a:ext cx="122872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2</xdr:col>
      <xdr:colOff>95250</xdr:colOff>
      <xdr:row>38</xdr:row>
      <xdr:rowOff>0</xdr:rowOff>
    </xdr:to>
    <xdr:pic>
      <xdr:nvPicPr>
        <xdr:cNvPr id="2" name="Picture 2" descr="D:\Unduhan\logo iso.png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8725"/>
          <a:ext cx="762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0</xdr:row>
      <xdr:rowOff>57150</xdr:rowOff>
    </xdr:from>
    <xdr:to>
      <xdr:col>6</xdr:col>
      <xdr:colOff>0</xdr:colOff>
      <xdr:row>5</xdr:row>
      <xdr:rowOff>219075</xdr:rowOff>
    </xdr:to>
    <xdr:pic>
      <xdr:nvPicPr>
        <xdr:cNvPr id="3" name="Picture 0" descr="logo BW Polsri.jpg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57150"/>
          <a:ext cx="122872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2</xdr:col>
      <xdr:colOff>95250</xdr:colOff>
      <xdr:row>38</xdr:row>
      <xdr:rowOff>0</xdr:rowOff>
    </xdr:to>
    <xdr:pic>
      <xdr:nvPicPr>
        <xdr:cNvPr id="2" name="Picture 2" descr="D:\Unduhan\logo iso.png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48725"/>
          <a:ext cx="7620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0</xdr:row>
      <xdr:rowOff>57150</xdr:rowOff>
    </xdr:from>
    <xdr:to>
      <xdr:col>6</xdr:col>
      <xdr:colOff>0</xdr:colOff>
      <xdr:row>5</xdr:row>
      <xdr:rowOff>219075</xdr:rowOff>
    </xdr:to>
    <xdr:pic>
      <xdr:nvPicPr>
        <xdr:cNvPr id="3" name="Picture 0" descr="logo BW Polsri.jpg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57150"/>
          <a:ext cx="122872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den%20Mas\AppData\Roaming\Microsoft\AddIns\TERBILANG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erbilang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polsri.ac.id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polsri.ac.id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polsri.ac.id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polsri.ac.id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2"/>
  <sheetViews>
    <sheetView tabSelected="1" view="pageBreakPreview" topLeftCell="A106" zoomScale="80" zoomScaleNormal="90" zoomScaleSheetLayoutView="80" workbookViewId="0">
      <selection activeCell="H114" sqref="H114"/>
    </sheetView>
  </sheetViews>
  <sheetFormatPr defaultRowHeight="14.25" x14ac:dyDescent="0.2"/>
  <cols>
    <col min="1" max="1" width="3.5703125" style="28" customWidth="1"/>
    <col min="2" max="2" width="4.140625" style="28" customWidth="1"/>
    <col min="3" max="3" width="51.140625" style="28" customWidth="1"/>
    <col min="4" max="4" width="4.85546875" style="28" customWidth="1"/>
    <col min="5" max="5" width="13.85546875" style="28" customWidth="1"/>
    <col min="6" max="6" width="27.28515625" style="28" customWidth="1"/>
    <col min="7" max="256" width="9.140625" style="28"/>
    <col min="257" max="257" width="3.5703125" style="28" customWidth="1"/>
    <col min="258" max="258" width="4.140625" style="28" customWidth="1"/>
    <col min="259" max="259" width="41.5703125" style="28" customWidth="1"/>
    <col min="260" max="260" width="4.28515625" style="28" customWidth="1"/>
    <col min="261" max="261" width="13.85546875" style="28" customWidth="1"/>
    <col min="262" max="262" width="31" style="28" customWidth="1"/>
    <col min="263" max="512" width="9.140625" style="28"/>
    <col min="513" max="513" width="3.5703125" style="28" customWidth="1"/>
    <col min="514" max="514" width="4.140625" style="28" customWidth="1"/>
    <col min="515" max="515" width="41.5703125" style="28" customWidth="1"/>
    <col min="516" max="516" width="4.28515625" style="28" customWidth="1"/>
    <col min="517" max="517" width="13.85546875" style="28" customWidth="1"/>
    <col min="518" max="518" width="31" style="28" customWidth="1"/>
    <col min="519" max="768" width="9.140625" style="28"/>
    <col min="769" max="769" width="3.5703125" style="28" customWidth="1"/>
    <col min="770" max="770" width="4.140625" style="28" customWidth="1"/>
    <col min="771" max="771" width="41.5703125" style="28" customWidth="1"/>
    <col min="772" max="772" width="4.28515625" style="28" customWidth="1"/>
    <col min="773" max="773" width="13.85546875" style="28" customWidth="1"/>
    <col min="774" max="774" width="31" style="28" customWidth="1"/>
    <col min="775" max="1024" width="9.140625" style="28"/>
    <col min="1025" max="1025" width="3.5703125" style="28" customWidth="1"/>
    <col min="1026" max="1026" width="4.140625" style="28" customWidth="1"/>
    <col min="1027" max="1027" width="41.5703125" style="28" customWidth="1"/>
    <col min="1028" max="1028" width="4.28515625" style="28" customWidth="1"/>
    <col min="1029" max="1029" width="13.85546875" style="28" customWidth="1"/>
    <col min="1030" max="1030" width="31" style="28" customWidth="1"/>
    <col min="1031" max="1280" width="9.140625" style="28"/>
    <col min="1281" max="1281" width="3.5703125" style="28" customWidth="1"/>
    <col min="1282" max="1282" width="4.140625" style="28" customWidth="1"/>
    <col min="1283" max="1283" width="41.5703125" style="28" customWidth="1"/>
    <col min="1284" max="1284" width="4.28515625" style="28" customWidth="1"/>
    <col min="1285" max="1285" width="13.85546875" style="28" customWidth="1"/>
    <col min="1286" max="1286" width="31" style="28" customWidth="1"/>
    <col min="1287" max="1536" width="9.140625" style="28"/>
    <col min="1537" max="1537" width="3.5703125" style="28" customWidth="1"/>
    <col min="1538" max="1538" width="4.140625" style="28" customWidth="1"/>
    <col min="1539" max="1539" width="41.5703125" style="28" customWidth="1"/>
    <col min="1540" max="1540" width="4.28515625" style="28" customWidth="1"/>
    <col min="1541" max="1541" width="13.85546875" style="28" customWidth="1"/>
    <col min="1542" max="1542" width="31" style="28" customWidth="1"/>
    <col min="1543" max="1792" width="9.140625" style="28"/>
    <col min="1793" max="1793" width="3.5703125" style="28" customWidth="1"/>
    <col min="1794" max="1794" width="4.140625" style="28" customWidth="1"/>
    <col min="1795" max="1795" width="41.5703125" style="28" customWidth="1"/>
    <col min="1796" max="1796" width="4.28515625" style="28" customWidth="1"/>
    <col min="1797" max="1797" width="13.85546875" style="28" customWidth="1"/>
    <col min="1798" max="1798" width="31" style="28" customWidth="1"/>
    <col min="1799" max="2048" width="9.140625" style="28"/>
    <col min="2049" max="2049" width="3.5703125" style="28" customWidth="1"/>
    <col min="2050" max="2050" width="4.140625" style="28" customWidth="1"/>
    <col min="2051" max="2051" width="41.5703125" style="28" customWidth="1"/>
    <col min="2052" max="2052" width="4.28515625" style="28" customWidth="1"/>
    <col min="2053" max="2053" width="13.85546875" style="28" customWidth="1"/>
    <col min="2054" max="2054" width="31" style="28" customWidth="1"/>
    <col min="2055" max="2304" width="9.140625" style="28"/>
    <col min="2305" max="2305" width="3.5703125" style="28" customWidth="1"/>
    <col min="2306" max="2306" width="4.140625" style="28" customWidth="1"/>
    <col min="2307" max="2307" width="41.5703125" style="28" customWidth="1"/>
    <col min="2308" max="2308" width="4.28515625" style="28" customWidth="1"/>
    <col min="2309" max="2309" width="13.85546875" style="28" customWidth="1"/>
    <col min="2310" max="2310" width="31" style="28" customWidth="1"/>
    <col min="2311" max="2560" width="9.140625" style="28"/>
    <col min="2561" max="2561" width="3.5703125" style="28" customWidth="1"/>
    <col min="2562" max="2562" width="4.140625" style="28" customWidth="1"/>
    <col min="2563" max="2563" width="41.5703125" style="28" customWidth="1"/>
    <col min="2564" max="2564" width="4.28515625" style="28" customWidth="1"/>
    <col min="2565" max="2565" width="13.85546875" style="28" customWidth="1"/>
    <col min="2566" max="2566" width="31" style="28" customWidth="1"/>
    <col min="2567" max="2816" width="9.140625" style="28"/>
    <col min="2817" max="2817" width="3.5703125" style="28" customWidth="1"/>
    <col min="2818" max="2818" width="4.140625" style="28" customWidth="1"/>
    <col min="2819" max="2819" width="41.5703125" style="28" customWidth="1"/>
    <col min="2820" max="2820" width="4.28515625" style="28" customWidth="1"/>
    <col min="2821" max="2821" width="13.85546875" style="28" customWidth="1"/>
    <col min="2822" max="2822" width="31" style="28" customWidth="1"/>
    <col min="2823" max="3072" width="9.140625" style="28"/>
    <col min="3073" max="3073" width="3.5703125" style="28" customWidth="1"/>
    <col min="3074" max="3074" width="4.140625" style="28" customWidth="1"/>
    <col min="3075" max="3075" width="41.5703125" style="28" customWidth="1"/>
    <col min="3076" max="3076" width="4.28515625" style="28" customWidth="1"/>
    <col min="3077" max="3077" width="13.85546875" style="28" customWidth="1"/>
    <col min="3078" max="3078" width="31" style="28" customWidth="1"/>
    <col min="3079" max="3328" width="9.140625" style="28"/>
    <col min="3329" max="3329" width="3.5703125" style="28" customWidth="1"/>
    <col min="3330" max="3330" width="4.140625" style="28" customWidth="1"/>
    <col min="3331" max="3331" width="41.5703125" style="28" customWidth="1"/>
    <col min="3332" max="3332" width="4.28515625" style="28" customWidth="1"/>
    <col min="3333" max="3333" width="13.85546875" style="28" customWidth="1"/>
    <col min="3334" max="3334" width="31" style="28" customWidth="1"/>
    <col min="3335" max="3584" width="9.140625" style="28"/>
    <col min="3585" max="3585" width="3.5703125" style="28" customWidth="1"/>
    <col min="3586" max="3586" width="4.140625" style="28" customWidth="1"/>
    <col min="3587" max="3587" width="41.5703125" style="28" customWidth="1"/>
    <col min="3588" max="3588" width="4.28515625" style="28" customWidth="1"/>
    <col min="3589" max="3589" width="13.85546875" style="28" customWidth="1"/>
    <col min="3590" max="3590" width="31" style="28" customWidth="1"/>
    <col min="3591" max="3840" width="9.140625" style="28"/>
    <col min="3841" max="3841" width="3.5703125" style="28" customWidth="1"/>
    <col min="3842" max="3842" width="4.140625" style="28" customWidth="1"/>
    <col min="3843" max="3843" width="41.5703125" style="28" customWidth="1"/>
    <col min="3844" max="3844" width="4.28515625" style="28" customWidth="1"/>
    <col min="3845" max="3845" width="13.85546875" style="28" customWidth="1"/>
    <col min="3846" max="3846" width="31" style="28" customWidth="1"/>
    <col min="3847" max="4096" width="9.140625" style="28"/>
    <col min="4097" max="4097" width="3.5703125" style="28" customWidth="1"/>
    <col min="4098" max="4098" width="4.140625" style="28" customWidth="1"/>
    <col min="4099" max="4099" width="41.5703125" style="28" customWidth="1"/>
    <col min="4100" max="4100" width="4.28515625" style="28" customWidth="1"/>
    <col min="4101" max="4101" width="13.85546875" style="28" customWidth="1"/>
    <col min="4102" max="4102" width="31" style="28" customWidth="1"/>
    <col min="4103" max="4352" width="9.140625" style="28"/>
    <col min="4353" max="4353" width="3.5703125" style="28" customWidth="1"/>
    <col min="4354" max="4354" width="4.140625" style="28" customWidth="1"/>
    <col min="4355" max="4355" width="41.5703125" style="28" customWidth="1"/>
    <col min="4356" max="4356" width="4.28515625" style="28" customWidth="1"/>
    <col min="4357" max="4357" width="13.85546875" style="28" customWidth="1"/>
    <col min="4358" max="4358" width="31" style="28" customWidth="1"/>
    <col min="4359" max="4608" width="9.140625" style="28"/>
    <col min="4609" max="4609" width="3.5703125" style="28" customWidth="1"/>
    <col min="4610" max="4610" width="4.140625" style="28" customWidth="1"/>
    <col min="4611" max="4611" width="41.5703125" style="28" customWidth="1"/>
    <col min="4612" max="4612" width="4.28515625" style="28" customWidth="1"/>
    <col min="4613" max="4613" width="13.85546875" style="28" customWidth="1"/>
    <col min="4614" max="4614" width="31" style="28" customWidth="1"/>
    <col min="4615" max="4864" width="9.140625" style="28"/>
    <col min="4865" max="4865" width="3.5703125" style="28" customWidth="1"/>
    <col min="4866" max="4866" width="4.140625" style="28" customWidth="1"/>
    <col min="4867" max="4867" width="41.5703125" style="28" customWidth="1"/>
    <col min="4868" max="4868" width="4.28515625" style="28" customWidth="1"/>
    <col min="4869" max="4869" width="13.85546875" style="28" customWidth="1"/>
    <col min="4870" max="4870" width="31" style="28" customWidth="1"/>
    <col min="4871" max="5120" width="9.140625" style="28"/>
    <col min="5121" max="5121" width="3.5703125" style="28" customWidth="1"/>
    <col min="5122" max="5122" width="4.140625" style="28" customWidth="1"/>
    <col min="5123" max="5123" width="41.5703125" style="28" customWidth="1"/>
    <col min="5124" max="5124" width="4.28515625" style="28" customWidth="1"/>
    <col min="5125" max="5125" width="13.85546875" style="28" customWidth="1"/>
    <col min="5126" max="5126" width="31" style="28" customWidth="1"/>
    <col min="5127" max="5376" width="9.140625" style="28"/>
    <col min="5377" max="5377" width="3.5703125" style="28" customWidth="1"/>
    <col min="5378" max="5378" width="4.140625" style="28" customWidth="1"/>
    <col min="5379" max="5379" width="41.5703125" style="28" customWidth="1"/>
    <col min="5380" max="5380" width="4.28515625" style="28" customWidth="1"/>
    <col min="5381" max="5381" width="13.85546875" style="28" customWidth="1"/>
    <col min="5382" max="5382" width="31" style="28" customWidth="1"/>
    <col min="5383" max="5632" width="9.140625" style="28"/>
    <col min="5633" max="5633" width="3.5703125" style="28" customWidth="1"/>
    <col min="5634" max="5634" width="4.140625" style="28" customWidth="1"/>
    <col min="5635" max="5635" width="41.5703125" style="28" customWidth="1"/>
    <col min="5636" max="5636" width="4.28515625" style="28" customWidth="1"/>
    <col min="5637" max="5637" width="13.85546875" style="28" customWidth="1"/>
    <col min="5638" max="5638" width="31" style="28" customWidth="1"/>
    <col min="5639" max="5888" width="9.140625" style="28"/>
    <col min="5889" max="5889" width="3.5703125" style="28" customWidth="1"/>
    <col min="5890" max="5890" width="4.140625" style="28" customWidth="1"/>
    <col min="5891" max="5891" width="41.5703125" style="28" customWidth="1"/>
    <col min="5892" max="5892" width="4.28515625" style="28" customWidth="1"/>
    <col min="5893" max="5893" width="13.85546875" style="28" customWidth="1"/>
    <col min="5894" max="5894" width="31" style="28" customWidth="1"/>
    <col min="5895" max="6144" width="9.140625" style="28"/>
    <col min="6145" max="6145" width="3.5703125" style="28" customWidth="1"/>
    <col min="6146" max="6146" width="4.140625" style="28" customWidth="1"/>
    <col min="6147" max="6147" width="41.5703125" style="28" customWidth="1"/>
    <col min="6148" max="6148" width="4.28515625" style="28" customWidth="1"/>
    <col min="6149" max="6149" width="13.85546875" style="28" customWidth="1"/>
    <col min="6150" max="6150" width="31" style="28" customWidth="1"/>
    <col min="6151" max="6400" width="9.140625" style="28"/>
    <col min="6401" max="6401" width="3.5703125" style="28" customWidth="1"/>
    <col min="6402" max="6402" width="4.140625" style="28" customWidth="1"/>
    <col min="6403" max="6403" width="41.5703125" style="28" customWidth="1"/>
    <col min="6404" max="6404" width="4.28515625" style="28" customWidth="1"/>
    <col min="6405" max="6405" width="13.85546875" style="28" customWidth="1"/>
    <col min="6406" max="6406" width="31" style="28" customWidth="1"/>
    <col min="6407" max="6656" width="9.140625" style="28"/>
    <col min="6657" max="6657" width="3.5703125" style="28" customWidth="1"/>
    <col min="6658" max="6658" width="4.140625" style="28" customWidth="1"/>
    <col min="6659" max="6659" width="41.5703125" style="28" customWidth="1"/>
    <col min="6660" max="6660" width="4.28515625" style="28" customWidth="1"/>
    <col min="6661" max="6661" width="13.85546875" style="28" customWidth="1"/>
    <col min="6662" max="6662" width="31" style="28" customWidth="1"/>
    <col min="6663" max="6912" width="9.140625" style="28"/>
    <col min="6913" max="6913" width="3.5703125" style="28" customWidth="1"/>
    <col min="6914" max="6914" width="4.140625" style="28" customWidth="1"/>
    <col min="6915" max="6915" width="41.5703125" style="28" customWidth="1"/>
    <col min="6916" max="6916" width="4.28515625" style="28" customWidth="1"/>
    <col min="6917" max="6917" width="13.85546875" style="28" customWidth="1"/>
    <col min="6918" max="6918" width="31" style="28" customWidth="1"/>
    <col min="6919" max="7168" width="9.140625" style="28"/>
    <col min="7169" max="7169" width="3.5703125" style="28" customWidth="1"/>
    <col min="7170" max="7170" width="4.140625" style="28" customWidth="1"/>
    <col min="7171" max="7171" width="41.5703125" style="28" customWidth="1"/>
    <col min="7172" max="7172" width="4.28515625" style="28" customWidth="1"/>
    <col min="7173" max="7173" width="13.85546875" style="28" customWidth="1"/>
    <col min="7174" max="7174" width="31" style="28" customWidth="1"/>
    <col min="7175" max="7424" width="9.140625" style="28"/>
    <col min="7425" max="7425" width="3.5703125" style="28" customWidth="1"/>
    <col min="7426" max="7426" width="4.140625" style="28" customWidth="1"/>
    <col min="7427" max="7427" width="41.5703125" style="28" customWidth="1"/>
    <col min="7428" max="7428" width="4.28515625" style="28" customWidth="1"/>
    <col min="7429" max="7429" width="13.85546875" style="28" customWidth="1"/>
    <col min="7430" max="7430" width="31" style="28" customWidth="1"/>
    <col min="7431" max="7680" width="9.140625" style="28"/>
    <col min="7681" max="7681" width="3.5703125" style="28" customWidth="1"/>
    <col min="7682" max="7682" width="4.140625" style="28" customWidth="1"/>
    <col min="7683" max="7683" width="41.5703125" style="28" customWidth="1"/>
    <col min="7684" max="7684" width="4.28515625" style="28" customWidth="1"/>
    <col min="7685" max="7685" width="13.85546875" style="28" customWidth="1"/>
    <col min="7686" max="7686" width="31" style="28" customWidth="1"/>
    <col min="7687" max="7936" width="9.140625" style="28"/>
    <col min="7937" max="7937" width="3.5703125" style="28" customWidth="1"/>
    <col min="7938" max="7938" width="4.140625" style="28" customWidth="1"/>
    <col min="7939" max="7939" width="41.5703125" style="28" customWidth="1"/>
    <col min="7940" max="7940" width="4.28515625" style="28" customWidth="1"/>
    <col min="7941" max="7941" width="13.85546875" style="28" customWidth="1"/>
    <col min="7942" max="7942" width="31" style="28" customWidth="1"/>
    <col min="7943" max="8192" width="9.140625" style="28"/>
    <col min="8193" max="8193" width="3.5703125" style="28" customWidth="1"/>
    <col min="8194" max="8194" width="4.140625" style="28" customWidth="1"/>
    <col min="8195" max="8195" width="41.5703125" style="28" customWidth="1"/>
    <col min="8196" max="8196" width="4.28515625" style="28" customWidth="1"/>
    <col min="8197" max="8197" width="13.85546875" style="28" customWidth="1"/>
    <col min="8198" max="8198" width="31" style="28" customWidth="1"/>
    <col min="8199" max="8448" width="9.140625" style="28"/>
    <col min="8449" max="8449" width="3.5703125" style="28" customWidth="1"/>
    <col min="8450" max="8450" width="4.140625" style="28" customWidth="1"/>
    <col min="8451" max="8451" width="41.5703125" style="28" customWidth="1"/>
    <col min="8452" max="8452" width="4.28515625" style="28" customWidth="1"/>
    <col min="8453" max="8453" width="13.85546875" style="28" customWidth="1"/>
    <col min="8454" max="8454" width="31" style="28" customWidth="1"/>
    <col min="8455" max="8704" width="9.140625" style="28"/>
    <col min="8705" max="8705" width="3.5703125" style="28" customWidth="1"/>
    <col min="8706" max="8706" width="4.140625" style="28" customWidth="1"/>
    <col min="8707" max="8707" width="41.5703125" style="28" customWidth="1"/>
    <col min="8708" max="8708" width="4.28515625" style="28" customWidth="1"/>
    <col min="8709" max="8709" width="13.85546875" style="28" customWidth="1"/>
    <col min="8710" max="8710" width="31" style="28" customWidth="1"/>
    <col min="8711" max="8960" width="9.140625" style="28"/>
    <col min="8961" max="8961" width="3.5703125" style="28" customWidth="1"/>
    <col min="8962" max="8962" width="4.140625" style="28" customWidth="1"/>
    <col min="8963" max="8963" width="41.5703125" style="28" customWidth="1"/>
    <col min="8964" max="8964" width="4.28515625" style="28" customWidth="1"/>
    <col min="8965" max="8965" width="13.85546875" style="28" customWidth="1"/>
    <col min="8966" max="8966" width="31" style="28" customWidth="1"/>
    <col min="8967" max="9216" width="9.140625" style="28"/>
    <col min="9217" max="9217" width="3.5703125" style="28" customWidth="1"/>
    <col min="9218" max="9218" width="4.140625" style="28" customWidth="1"/>
    <col min="9219" max="9219" width="41.5703125" style="28" customWidth="1"/>
    <col min="9220" max="9220" width="4.28515625" style="28" customWidth="1"/>
    <col min="9221" max="9221" width="13.85546875" style="28" customWidth="1"/>
    <col min="9222" max="9222" width="31" style="28" customWidth="1"/>
    <col min="9223" max="9472" width="9.140625" style="28"/>
    <col min="9473" max="9473" width="3.5703125" style="28" customWidth="1"/>
    <col min="9474" max="9474" width="4.140625" style="28" customWidth="1"/>
    <col min="9475" max="9475" width="41.5703125" style="28" customWidth="1"/>
    <col min="9476" max="9476" width="4.28515625" style="28" customWidth="1"/>
    <col min="9477" max="9477" width="13.85546875" style="28" customWidth="1"/>
    <col min="9478" max="9478" width="31" style="28" customWidth="1"/>
    <col min="9479" max="9728" width="9.140625" style="28"/>
    <col min="9729" max="9729" width="3.5703125" style="28" customWidth="1"/>
    <col min="9730" max="9730" width="4.140625" style="28" customWidth="1"/>
    <col min="9731" max="9731" width="41.5703125" style="28" customWidth="1"/>
    <col min="9732" max="9732" width="4.28515625" style="28" customWidth="1"/>
    <col min="9733" max="9733" width="13.85546875" style="28" customWidth="1"/>
    <col min="9734" max="9734" width="31" style="28" customWidth="1"/>
    <col min="9735" max="9984" width="9.140625" style="28"/>
    <col min="9985" max="9985" width="3.5703125" style="28" customWidth="1"/>
    <col min="9986" max="9986" width="4.140625" style="28" customWidth="1"/>
    <col min="9987" max="9987" width="41.5703125" style="28" customWidth="1"/>
    <col min="9988" max="9988" width="4.28515625" style="28" customWidth="1"/>
    <col min="9989" max="9989" width="13.85546875" style="28" customWidth="1"/>
    <col min="9990" max="9990" width="31" style="28" customWidth="1"/>
    <col min="9991" max="10240" width="9.140625" style="28"/>
    <col min="10241" max="10241" width="3.5703125" style="28" customWidth="1"/>
    <col min="10242" max="10242" width="4.140625" style="28" customWidth="1"/>
    <col min="10243" max="10243" width="41.5703125" style="28" customWidth="1"/>
    <col min="10244" max="10244" width="4.28515625" style="28" customWidth="1"/>
    <col min="10245" max="10245" width="13.85546875" style="28" customWidth="1"/>
    <col min="10246" max="10246" width="31" style="28" customWidth="1"/>
    <col min="10247" max="10496" width="9.140625" style="28"/>
    <col min="10497" max="10497" width="3.5703125" style="28" customWidth="1"/>
    <col min="10498" max="10498" width="4.140625" style="28" customWidth="1"/>
    <col min="10499" max="10499" width="41.5703125" style="28" customWidth="1"/>
    <col min="10500" max="10500" width="4.28515625" style="28" customWidth="1"/>
    <col min="10501" max="10501" width="13.85546875" style="28" customWidth="1"/>
    <col min="10502" max="10502" width="31" style="28" customWidth="1"/>
    <col min="10503" max="10752" width="9.140625" style="28"/>
    <col min="10753" max="10753" width="3.5703125" style="28" customWidth="1"/>
    <col min="10754" max="10754" width="4.140625" style="28" customWidth="1"/>
    <col min="10755" max="10755" width="41.5703125" style="28" customWidth="1"/>
    <col min="10756" max="10756" width="4.28515625" style="28" customWidth="1"/>
    <col min="10757" max="10757" width="13.85546875" style="28" customWidth="1"/>
    <col min="10758" max="10758" width="31" style="28" customWidth="1"/>
    <col min="10759" max="11008" width="9.140625" style="28"/>
    <col min="11009" max="11009" width="3.5703125" style="28" customWidth="1"/>
    <col min="11010" max="11010" width="4.140625" style="28" customWidth="1"/>
    <col min="11011" max="11011" width="41.5703125" style="28" customWidth="1"/>
    <col min="11012" max="11012" width="4.28515625" style="28" customWidth="1"/>
    <col min="11013" max="11013" width="13.85546875" style="28" customWidth="1"/>
    <col min="11014" max="11014" width="31" style="28" customWidth="1"/>
    <col min="11015" max="11264" width="9.140625" style="28"/>
    <col min="11265" max="11265" width="3.5703125" style="28" customWidth="1"/>
    <col min="11266" max="11266" width="4.140625" style="28" customWidth="1"/>
    <col min="11267" max="11267" width="41.5703125" style="28" customWidth="1"/>
    <col min="11268" max="11268" width="4.28515625" style="28" customWidth="1"/>
    <col min="11269" max="11269" width="13.85546875" style="28" customWidth="1"/>
    <col min="11270" max="11270" width="31" style="28" customWidth="1"/>
    <col min="11271" max="11520" width="9.140625" style="28"/>
    <col min="11521" max="11521" width="3.5703125" style="28" customWidth="1"/>
    <col min="11522" max="11522" width="4.140625" style="28" customWidth="1"/>
    <col min="11523" max="11523" width="41.5703125" style="28" customWidth="1"/>
    <col min="11524" max="11524" width="4.28515625" style="28" customWidth="1"/>
    <col min="11525" max="11525" width="13.85546875" style="28" customWidth="1"/>
    <col min="11526" max="11526" width="31" style="28" customWidth="1"/>
    <col min="11527" max="11776" width="9.140625" style="28"/>
    <col min="11777" max="11777" width="3.5703125" style="28" customWidth="1"/>
    <col min="11778" max="11778" width="4.140625" style="28" customWidth="1"/>
    <col min="11779" max="11779" width="41.5703125" style="28" customWidth="1"/>
    <col min="11780" max="11780" width="4.28515625" style="28" customWidth="1"/>
    <col min="11781" max="11781" width="13.85546875" style="28" customWidth="1"/>
    <col min="11782" max="11782" width="31" style="28" customWidth="1"/>
    <col min="11783" max="12032" width="9.140625" style="28"/>
    <col min="12033" max="12033" width="3.5703125" style="28" customWidth="1"/>
    <col min="12034" max="12034" width="4.140625" style="28" customWidth="1"/>
    <col min="12035" max="12035" width="41.5703125" style="28" customWidth="1"/>
    <col min="12036" max="12036" width="4.28515625" style="28" customWidth="1"/>
    <col min="12037" max="12037" width="13.85546875" style="28" customWidth="1"/>
    <col min="12038" max="12038" width="31" style="28" customWidth="1"/>
    <col min="12039" max="12288" width="9.140625" style="28"/>
    <col min="12289" max="12289" width="3.5703125" style="28" customWidth="1"/>
    <col min="12290" max="12290" width="4.140625" style="28" customWidth="1"/>
    <col min="12291" max="12291" width="41.5703125" style="28" customWidth="1"/>
    <col min="12292" max="12292" width="4.28515625" style="28" customWidth="1"/>
    <col min="12293" max="12293" width="13.85546875" style="28" customWidth="1"/>
    <col min="12294" max="12294" width="31" style="28" customWidth="1"/>
    <col min="12295" max="12544" width="9.140625" style="28"/>
    <col min="12545" max="12545" width="3.5703125" style="28" customWidth="1"/>
    <col min="12546" max="12546" width="4.140625" style="28" customWidth="1"/>
    <col min="12547" max="12547" width="41.5703125" style="28" customWidth="1"/>
    <col min="12548" max="12548" width="4.28515625" style="28" customWidth="1"/>
    <col min="12549" max="12549" width="13.85546875" style="28" customWidth="1"/>
    <col min="12550" max="12550" width="31" style="28" customWidth="1"/>
    <col min="12551" max="12800" width="9.140625" style="28"/>
    <col min="12801" max="12801" width="3.5703125" style="28" customWidth="1"/>
    <col min="12802" max="12802" width="4.140625" style="28" customWidth="1"/>
    <col min="12803" max="12803" width="41.5703125" style="28" customWidth="1"/>
    <col min="12804" max="12804" width="4.28515625" style="28" customWidth="1"/>
    <col min="12805" max="12805" width="13.85546875" style="28" customWidth="1"/>
    <col min="12806" max="12806" width="31" style="28" customWidth="1"/>
    <col min="12807" max="13056" width="9.140625" style="28"/>
    <col min="13057" max="13057" width="3.5703125" style="28" customWidth="1"/>
    <col min="13058" max="13058" width="4.140625" style="28" customWidth="1"/>
    <col min="13059" max="13059" width="41.5703125" style="28" customWidth="1"/>
    <col min="13060" max="13060" width="4.28515625" style="28" customWidth="1"/>
    <col min="13061" max="13061" width="13.85546875" style="28" customWidth="1"/>
    <col min="13062" max="13062" width="31" style="28" customWidth="1"/>
    <col min="13063" max="13312" width="9.140625" style="28"/>
    <col min="13313" max="13313" width="3.5703125" style="28" customWidth="1"/>
    <col min="13314" max="13314" width="4.140625" style="28" customWidth="1"/>
    <col min="13315" max="13315" width="41.5703125" style="28" customWidth="1"/>
    <col min="13316" max="13316" width="4.28515625" style="28" customWidth="1"/>
    <col min="13317" max="13317" width="13.85546875" style="28" customWidth="1"/>
    <col min="13318" max="13318" width="31" style="28" customWidth="1"/>
    <col min="13319" max="13568" width="9.140625" style="28"/>
    <col min="13569" max="13569" width="3.5703125" style="28" customWidth="1"/>
    <col min="13570" max="13570" width="4.140625" style="28" customWidth="1"/>
    <col min="13571" max="13571" width="41.5703125" style="28" customWidth="1"/>
    <col min="13572" max="13572" width="4.28515625" style="28" customWidth="1"/>
    <col min="13573" max="13573" width="13.85546875" style="28" customWidth="1"/>
    <col min="13574" max="13574" width="31" style="28" customWidth="1"/>
    <col min="13575" max="13824" width="9.140625" style="28"/>
    <col min="13825" max="13825" width="3.5703125" style="28" customWidth="1"/>
    <col min="13826" max="13826" width="4.140625" style="28" customWidth="1"/>
    <col min="13827" max="13827" width="41.5703125" style="28" customWidth="1"/>
    <col min="13828" max="13828" width="4.28515625" style="28" customWidth="1"/>
    <col min="13829" max="13829" width="13.85546875" style="28" customWidth="1"/>
    <col min="13830" max="13830" width="31" style="28" customWidth="1"/>
    <col min="13831" max="14080" width="9.140625" style="28"/>
    <col min="14081" max="14081" width="3.5703125" style="28" customWidth="1"/>
    <col min="14082" max="14082" width="4.140625" style="28" customWidth="1"/>
    <col min="14083" max="14083" width="41.5703125" style="28" customWidth="1"/>
    <col min="14084" max="14084" width="4.28515625" style="28" customWidth="1"/>
    <col min="14085" max="14085" width="13.85546875" style="28" customWidth="1"/>
    <col min="14086" max="14086" width="31" style="28" customWidth="1"/>
    <col min="14087" max="14336" width="9.140625" style="28"/>
    <col min="14337" max="14337" width="3.5703125" style="28" customWidth="1"/>
    <col min="14338" max="14338" width="4.140625" style="28" customWidth="1"/>
    <col min="14339" max="14339" width="41.5703125" style="28" customWidth="1"/>
    <col min="14340" max="14340" width="4.28515625" style="28" customWidth="1"/>
    <col min="14341" max="14341" width="13.85546875" style="28" customWidth="1"/>
    <col min="14342" max="14342" width="31" style="28" customWidth="1"/>
    <col min="14343" max="14592" width="9.140625" style="28"/>
    <col min="14593" max="14593" width="3.5703125" style="28" customWidth="1"/>
    <col min="14594" max="14594" width="4.140625" style="28" customWidth="1"/>
    <col min="14595" max="14595" width="41.5703125" style="28" customWidth="1"/>
    <col min="14596" max="14596" width="4.28515625" style="28" customWidth="1"/>
    <col min="14597" max="14597" width="13.85546875" style="28" customWidth="1"/>
    <col min="14598" max="14598" width="31" style="28" customWidth="1"/>
    <col min="14599" max="14848" width="9.140625" style="28"/>
    <col min="14849" max="14849" width="3.5703125" style="28" customWidth="1"/>
    <col min="14850" max="14850" width="4.140625" style="28" customWidth="1"/>
    <col min="14851" max="14851" width="41.5703125" style="28" customWidth="1"/>
    <col min="14852" max="14852" width="4.28515625" style="28" customWidth="1"/>
    <col min="14853" max="14853" width="13.85546875" style="28" customWidth="1"/>
    <col min="14854" max="14854" width="31" style="28" customWidth="1"/>
    <col min="14855" max="15104" width="9.140625" style="28"/>
    <col min="15105" max="15105" width="3.5703125" style="28" customWidth="1"/>
    <col min="15106" max="15106" width="4.140625" style="28" customWidth="1"/>
    <col min="15107" max="15107" width="41.5703125" style="28" customWidth="1"/>
    <col min="15108" max="15108" width="4.28515625" style="28" customWidth="1"/>
    <col min="15109" max="15109" width="13.85546875" style="28" customWidth="1"/>
    <col min="15110" max="15110" width="31" style="28" customWidth="1"/>
    <col min="15111" max="15360" width="9.140625" style="28"/>
    <col min="15361" max="15361" width="3.5703125" style="28" customWidth="1"/>
    <col min="15362" max="15362" width="4.140625" style="28" customWidth="1"/>
    <col min="15363" max="15363" width="41.5703125" style="28" customWidth="1"/>
    <col min="15364" max="15364" width="4.28515625" style="28" customWidth="1"/>
    <col min="15365" max="15365" width="13.85546875" style="28" customWidth="1"/>
    <col min="15366" max="15366" width="31" style="28" customWidth="1"/>
    <col min="15367" max="15616" width="9.140625" style="28"/>
    <col min="15617" max="15617" width="3.5703125" style="28" customWidth="1"/>
    <col min="15618" max="15618" width="4.140625" style="28" customWidth="1"/>
    <col min="15619" max="15619" width="41.5703125" style="28" customWidth="1"/>
    <col min="15620" max="15620" width="4.28515625" style="28" customWidth="1"/>
    <col min="15621" max="15621" width="13.85546875" style="28" customWidth="1"/>
    <col min="15622" max="15622" width="31" style="28" customWidth="1"/>
    <col min="15623" max="15872" width="9.140625" style="28"/>
    <col min="15873" max="15873" width="3.5703125" style="28" customWidth="1"/>
    <col min="15874" max="15874" width="4.140625" style="28" customWidth="1"/>
    <col min="15875" max="15875" width="41.5703125" style="28" customWidth="1"/>
    <col min="15876" max="15876" width="4.28515625" style="28" customWidth="1"/>
    <col min="15877" max="15877" width="13.85546875" style="28" customWidth="1"/>
    <col min="15878" max="15878" width="31" style="28" customWidth="1"/>
    <col min="15879" max="16128" width="9.140625" style="28"/>
    <col min="16129" max="16129" width="3.5703125" style="28" customWidth="1"/>
    <col min="16130" max="16130" width="4.140625" style="28" customWidth="1"/>
    <col min="16131" max="16131" width="41.5703125" style="28" customWidth="1"/>
    <col min="16132" max="16132" width="4.28515625" style="28" customWidth="1"/>
    <col min="16133" max="16133" width="13.85546875" style="28" customWidth="1"/>
    <col min="16134" max="16134" width="31" style="28" customWidth="1"/>
    <col min="16135" max="16384" width="9.140625" style="28"/>
  </cols>
  <sheetData>
    <row r="1" spans="1:10" ht="19.5" customHeight="1" x14ac:dyDescent="0.4">
      <c r="A1" s="259" t="s">
        <v>0</v>
      </c>
      <c r="B1" s="259"/>
      <c r="C1" s="259"/>
      <c r="D1" s="259"/>
      <c r="E1" s="259"/>
      <c r="F1" s="259"/>
    </row>
    <row r="2" spans="1:10" ht="15.75" customHeight="1" x14ac:dyDescent="0.3">
      <c r="A2" s="29"/>
      <c r="B2" s="29"/>
    </row>
    <row r="3" spans="1:10" ht="15.75" customHeight="1" thickBot="1" x14ac:dyDescent="0.35">
      <c r="A3" s="30"/>
      <c r="B3" s="30"/>
      <c r="C3" s="31"/>
      <c r="D3" s="31"/>
      <c r="E3" s="31"/>
      <c r="F3" s="31"/>
    </row>
    <row r="4" spans="1:10" ht="15.75" customHeight="1" thickTop="1" x14ac:dyDescent="0.3">
      <c r="A4" s="32"/>
      <c r="B4" s="33"/>
      <c r="C4" s="34"/>
      <c r="E4" s="35"/>
      <c r="F4" s="34"/>
    </row>
    <row r="5" spans="1:10" ht="15.75" customHeight="1" x14ac:dyDescent="0.3">
      <c r="A5" s="45">
        <v>1</v>
      </c>
      <c r="B5" s="24" t="s">
        <v>1</v>
      </c>
      <c r="C5" s="36"/>
      <c r="D5" s="27" t="s">
        <v>2</v>
      </c>
      <c r="E5" s="27" t="str">
        <f>'Rincian Biaya Perjadin'!G50</f>
        <v>Dodi Oktavianto, S.E.</v>
      </c>
      <c r="F5" s="24"/>
    </row>
    <row r="6" spans="1:10" ht="15.75" customHeight="1" x14ac:dyDescent="0.3">
      <c r="A6" s="46"/>
      <c r="B6" s="47"/>
      <c r="C6" s="26"/>
      <c r="D6" s="25"/>
      <c r="E6" s="25"/>
      <c r="F6" s="26"/>
    </row>
    <row r="7" spans="1:10" ht="15.75" customHeight="1" x14ac:dyDescent="0.3">
      <c r="A7" s="45"/>
      <c r="B7" s="48"/>
      <c r="C7" s="24"/>
      <c r="D7" s="27"/>
      <c r="E7" s="27"/>
      <c r="F7" s="24"/>
    </row>
    <row r="8" spans="1:10" ht="15.75" customHeight="1" x14ac:dyDescent="0.3">
      <c r="A8" s="45">
        <v>2</v>
      </c>
      <c r="B8" s="24" t="s">
        <v>3</v>
      </c>
      <c r="C8" s="36"/>
      <c r="D8" s="27" t="s">
        <v>2</v>
      </c>
      <c r="E8" s="43" t="s">
        <v>182</v>
      </c>
      <c r="F8" s="24"/>
    </row>
    <row r="9" spans="1:10" ht="15.75" customHeight="1" x14ac:dyDescent="0.3">
      <c r="A9" s="45"/>
      <c r="B9" s="27" t="s">
        <v>4</v>
      </c>
      <c r="C9" s="37"/>
      <c r="D9" s="27"/>
      <c r="E9" s="65" t="str">
        <f>'Nominatif Format Baru'!C13</f>
        <v>197907222008011007</v>
      </c>
      <c r="F9" s="24"/>
    </row>
    <row r="10" spans="1:10" ht="15.75" customHeight="1" x14ac:dyDescent="0.3">
      <c r="A10" s="46"/>
      <c r="B10" s="47"/>
      <c r="C10" s="26"/>
      <c r="D10" s="25"/>
      <c r="E10" s="25"/>
      <c r="F10" s="24"/>
    </row>
    <row r="11" spans="1:10" ht="15.75" customHeight="1" x14ac:dyDescent="0.3">
      <c r="A11" s="45"/>
      <c r="B11" s="48"/>
      <c r="C11" s="24"/>
      <c r="D11" s="27"/>
      <c r="E11" s="49"/>
      <c r="F11" s="50"/>
    </row>
    <row r="12" spans="1:10" ht="15.75" customHeight="1" x14ac:dyDescent="0.3">
      <c r="A12" s="45">
        <v>3</v>
      </c>
      <c r="B12" s="48" t="s">
        <v>6</v>
      </c>
      <c r="C12" s="24" t="s">
        <v>7</v>
      </c>
      <c r="D12" s="48" t="s">
        <v>6</v>
      </c>
      <c r="E12" s="51" t="str">
        <f>'Nominatif Format Baru'!D13</f>
        <v>Penata Tk. I/III/d</v>
      </c>
      <c r="F12" s="24"/>
    </row>
    <row r="13" spans="1:10" ht="27" customHeight="1" x14ac:dyDescent="0.2">
      <c r="A13" s="45"/>
      <c r="B13" s="52" t="s">
        <v>8</v>
      </c>
      <c r="C13" s="53" t="s">
        <v>9</v>
      </c>
      <c r="D13" s="52" t="s">
        <v>8</v>
      </c>
      <c r="E13" s="260" t="s">
        <v>183</v>
      </c>
      <c r="F13" s="261"/>
    </row>
    <row r="14" spans="1:10" ht="15.75" customHeight="1" x14ac:dyDescent="0.3">
      <c r="A14" s="45"/>
      <c r="B14" s="52" t="s">
        <v>10</v>
      </c>
      <c r="C14" s="24" t="s">
        <v>11</v>
      </c>
      <c r="D14" s="48" t="s">
        <v>10</v>
      </c>
      <c r="E14" s="51" t="s">
        <v>150</v>
      </c>
      <c r="F14" s="24"/>
      <c r="I14" s="28" t="s">
        <v>2</v>
      </c>
      <c r="J14" s="28" t="s">
        <v>2</v>
      </c>
    </row>
    <row r="15" spans="1:10" ht="15.75" customHeight="1" x14ac:dyDescent="0.3">
      <c r="A15" s="46"/>
      <c r="B15" s="47"/>
      <c r="C15" s="26"/>
      <c r="D15" s="25"/>
      <c r="E15" s="25"/>
      <c r="F15" s="26"/>
    </row>
    <row r="16" spans="1:10" ht="15.75" customHeight="1" x14ac:dyDescent="0.2">
      <c r="A16" s="45"/>
      <c r="B16" s="48"/>
      <c r="C16" s="24"/>
      <c r="D16" s="27"/>
      <c r="E16" s="27"/>
      <c r="F16" s="24"/>
    </row>
    <row r="17" spans="1:19" ht="72.75" customHeight="1" x14ac:dyDescent="0.2">
      <c r="A17" s="54">
        <v>4</v>
      </c>
      <c r="B17" s="53" t="s">
        <v>12</v>
      </c>
      <c r="C17" s="37"/>
      <c r="D17" s="55"/>
      <c r="E17" s="262" t="s">
        <v>176</v>
      </c>
      <c r="F17" s="263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</row>
    <row r="18" spans="1:19" ht="15.75" customHeight="1" x14ac:dyDescent="0.2">
      <c r="A18" s="46"/>
      <c r="B18" s="47"/>
      <c r="C18" s="26"/>
      <c r="D18" s="25"/>
      <c r="E18" s="1"/>
      <c r="F18" s="56" t="s">
        <v>13</v>
      </c>
    </row>
    <row r="19" spans="1:19" ht="15.75" customHeight="1" x14ac:dyDescent="0.3">
      <c r="A19" s="45"/>
      <c r="B19" s="48"/>
      <c r="C19" s="24"/>
      <c r="D19" s="27"/>
      <c r="E19" s="27"/>
      <c r="F19" s="24"/>
      <c r="J19" s="28" t="s">
        <v>2</v>
      </c>
    </row>
    <row r="20" spans="1:19" ht="15.75" customHeight="1" x14ac:dyDescent="0.3">
      <c r="A20" s="45">
        <v>5</v>
      </c>
      <c r="B20" s="49" t="s">
        <v>14</v>
      </c>
      <c r="C20" s="37"/>
      <c r="D20" s="27"/>
      <c r="E20" s="27" t="s">
        <v>155</v>
      </c>
      <c r="F20" s="24"/>
      <c r="I20" s="28" t="s">
        <v>5</v>
      </c>
    </row>
    <row r="21" spans="1:19" ht="15.75" customHeight="1" x14ac:dyDescent="0.3">
      <c r="A21" s="46"/>
      <c r="B21" s="47"/>
      <c r="C21" s="26"/>
      <c r="D21" s="25"/>
      <c r="E21" s="25"/>
      <c r="F21" s="26"/>
    </row>
    <row r="22" spans="1:19" ht="15.75" customHeight="1" x14ac:dyDescent="0.3">
      <c r="A22" s="45"/>
      <c r="B22" s="48"/>
      <c r="C22" s="24"/>
      <c r="D22" s="27"/>
      <c r="E22" s="27"/>
      <c r="F22" s="24"/>
    </row>
    <row r="23" spans="1:19" ht="15.75" customHeight="1" x14ac:dyDescent="0.3">
      <c r="A23" s="45">
        <v>6</v>
      </c>
      <c r="B23" s="48" t="s">
        <v>6</v>
      </c>
      <c r="C23" s="24" t="s">
        <v>15</v>
      </c>
      <c r="D23" s="48" t="s">
        <v>6</v>
      </c>
      <c r="E23" s="49" t="s">
        <v>16</v>
      </c>
      <c r="F23" s="24"/>
    </row>
    <row r="24" spans="1:19" ht="15.75" customHeight="1" x14ac:dyDescent="0.3">
      <c r="A24" s="45"/>
      <c r="B24" s="48" t="s">
        <v>8</v>
      </c>
      <c r="C24" s="24" t="s">
        <v>17</v>
      </c>
      <c r="D24" s="48" t="s">
        <v>8</v>
      </c>
      <c r="E24" s="49" t="s">
        <v>161</v>
      </c>
      <c r="F24" s="24"/>
    </row>
    <row r="25" spans="1:19" ht="15.75" customHeight="1" x14ac:dyDescent="0.3">
      <c r="A25" s="46"/>
      <c r="B25" s="47"/>
      <c r="C25" s="26"/>
      <c r="D25" s="25"/>
      <c r="E25" s="25"/>
      <c r="F25" s="26"/>
    </row>
    <row r="26" spans="1:19" ht="15.75" customHeight="1" x14ac:dyDescent="0.3">
      <c r="A26" s="45"/>
      <c r="B26" s="48"/>
      <c r="C26" s="24"/>
      <c r="D26" s="27"/>
      <c r="E26" s="27"/>
      <c r="F26" s="24"/>
    </row>
    <row r="27" spans="1:19" ht="15.75" customHeight="1" x14ac:dyDescent="0.3">
      <c r="A27" s="45">
        <v>7</v>
      </c>
      <c r="B27" s="48" t="s">
        <v>6</v>
      </c>
      <c r="C27" s="24" t="s">
        <v>18</v>
      </c>
      <c r="D27" s="49"/>
      <c r="E27" s="49" t="str">
        <f>SPD!E27</f>
        <v>2 (Dua) Hari</v>
      </c>
      <c r="F27" s="57"/>
    </row>
    <row r="28" spans="1:19" ht="15.75" customHeight="1" x14ac:dyDescent="0.3">
      <c r="A28" s="45"/>
      <c r="B28" s="48" t="s">
        <v>8</v>
      </c>
      <c r="C28" s="24" t="s">
        <v>19</v>
      </c>
      <c r="D28" s="49"/>
      <c r="E28" s="44" t="s">
        <v>178</v>
      </c>
      <c r="F28" s="24"/>
    </row>
    <row r="29" spans="1:19" ht="15.75" customHeight="1" x14ac:dyDescent="0.3">
      <c r="A29" s="45"/>
      <c r="B29" s="48" t="s">
        <v>20</v>
      </c>
      <c r="C29" s="24" t="s">
        <v>21</v>
      </c>
      <c r="D29" s="49"/>
      <c r="E29" s="44" t="s">
        <v>179</v>
      </c>
      <c r="F29" s="24"/>
    </row>
    <row r="30" spans="1:19" ht="15.75" customHeight="1" x14ac:dyDescent="0.3">
      <c r="A30" s="46"/>
      <c r="B30" s="47"/>
      <c r="C30" s="26"/>
      <c r="D30" s="25"/>
      <c r="E30" s="25"/>
      <c r="F30" s="26"/>
    </row>
    <row r="31" spans="1:19" ht="15.75" customHeight="1" x14ac:dyDescent="0.3">
      <c r="A31" s="45"/>
      <c r="B31" s="48"/>
      <c r="C31" s="24"/>
      <c r="D31" s="27"/>
      <c r="E31" s="27"/>
      <c r="F31" s="24"/>
    </row>
    <row r="32" spans="1:19" ht="15.75" customHeight="1" x14ac:dyDescent="0.3">
      <c r="A32" s="45">
        <v>8</v>
      </c>
      <c r="B32" s="49" t="s">
        <v>22</v>
      </c>
      <c r="C32" s="24"/>
      <c r="D32" s="27"/>
      <c r="E32" s="27"/>
      <c r="F32" s="24"/>
    </row>
    <row r="33" spans="1:7" ht="15.75" customHeight="1" x14ac:dyDescent="0.3">
      <c r="A33" s="45"/>
      <c r="B33" s="48" t="s">
        <v>23</v>
      </c>
      <c r="C33" s="24"/>
      <c r="D33" s="27"/>
      <c r="E33" s="27"/>
      <c r="F33" s="24"/>
    </row>
    <row r="34" spans="1:7" ht="15.75" customHeight="1" x14ac:dyDescent="0.3">
      <c r="A34" s="45"/>
      <c r="B34" s="48" t="s">
        <v>24</v>
      </c>
      <c r="C34" s="24"/>
      <c r="D34" s="27"/>
      <c r="E34" s="27"/>
      <c r="F34" s="24"/>
    </row>
    <row r="35" spans="1:7" ht="15.75" customHeight="1" x14ac:dyDescent="0.2">
      <c r="A35" s="46"/>
      <c r="B35" s="47"/>
      <c r="C35" s="26"/>
      <c r="D35" s="25"/>
      <c r="E35" s="25"/>
      <c r="F35" s="26"/>
    </row>
    <row r="36" spans="1:7" ht="15.75" customHeight="1" x14ac:dyDescent="0.2">
      <c r="A36" s="45"/>
      <c r="B36" s="48"/>
      <c r="C36" s="24"/>
      <c r="D36" s="27"/>
      <c r="E36" s="27"/>
      <c r="F36" s="24"/>
    </row>
    <row r="37" spans="1:7" ht="15.75" customHeight="1" x14ac:dyDescent="0.2">
      <c r="A37" s="45">
        <v>9</v>
      </c>
      <c r="B37" s="49" t="s">
        <v>25</v>
      </c>
      <c r="C37" s="24"/>
      <c r="D37" s="27"/>
      <c r="E37" s="27"/>
      <c r="F37" s="24"/>
    </row>
    <row r="38" spans="1:7" ht="15.75" customHeight="1" x14ac:dyDescent="0.2">
      <c r="A38" s="45"/>
      <c r="B38" s="48" t="s">
        <v>6</v>
      </c>
      <c r="C38" s="24" t="s">
        <v>26</v>
      </c>
      <c r="D38" s="27"/>
      <c r="E38" s="27" t="s">
        <v>27</v>
      </c>
      <c r="F38" s="24"/>
    </row>
    <row r="39" spans="1:7" ht="15.75" customHeight="1" x14ac:dyDescent="0.2">
      <c r="A39" s="45"/>
      <c r="B39" s="48" t="s">
        <v>8</v>
      </c>
      <c r="C39" s="24" t="s">
        <v>28</v>
      </c>
      <c r="D39" s="27"/>
      <c r="E39" s="27"/>
      <c r="F39" s="24"/>
    </row>
    <row r="40" spans="1:7" ht="15.75" customHeight="1" x14ac:dyDescent="0.2">
      <c r="A40" s="46"/>
      <c r="B40" s="47"/>
      <c r="C40" s="26"/>
      <c r="D40" s="25"/>
      <c r="E40" s="25"/>
      <c r="F40" s="26"/>
    </row>
    <row r="41" spans="1:7" ht="15.75" customHeight="1" x14ac:dyDescent="0.2">
      <c r="A41" s="45"/>
      <c r="B41" s="48"/>
      <c r="C41" s="24"/>
      <c r="D41" s="27"/>
      <c r="E41" s="27"/>
      <c r="F41" s="24"/>
    </row>
    <row r="42" spans="1:7" ht="15.75" customHeight="1" x14ac:dyDescent="0.2">
      <c r="A42" s="45">
        <v>10</v>
      </c>
      <c r="B42" s="49" t="s">
        <v>29</v>
      </c>
      <c r="C42" s="24"/>
      <c r="D42" s="27"/>
      <c r="E42" s="27"/>
      <c r="F42" s="24"/>
    </row>
    <row r="43" spans="1:7" ht="15.75" customHeight="1" thickBot="1" x14ac:dyDescent="0.25">
      <c r="A43" s="58"/>
      <c r="B43" s="59"/>
      <c r="C43" s="60"/>
      <c r="D43" s="61"/>
      <c r="E43" s="61"/>
      <c r="F43" s="60"/>
    </row>
    <row r="44" spans="1:7" ht="12.75" customHeight="1" x14ac:dyDescent="0.2">
      <c r="A44" s="38"/>
      <c r="B44" s="38"/>
      <c r="D44" s="39"/>
    </row>
    <row r="45" spans="1:7" ht="12.75" customHeight="1" x14ac:dyDescent="0.25">
      <c r="A45" s="29"/>
      <c r="B45" s="62" t="s">
        <v>30</v>
      </c>
      <c r="D45" s="63" t="s">
        <v>31</v>
      </c>
      <c r="E45" s="63"/>
      <c r="F45" s="63" t="s">
        <v>32</v>
      </c>
    </row>
    <row r="46" spans="1:7" ht="17.25" customHeight="1" x14ac:dyDescent="0.2">
      <c r="A46" s="40"/>
      <c r="B46" s="40"/>
      <c r="C46" s="41"/>
      <c r="D46" s="258" t="s">
        <v>33</v>
      </c>
      <c r="E46" s="258"/>
      <c r="F46" s="64" t="s">
        <v>220</v>
      </c>
      <c r="G46" s="42"/>
    </row>
    <row r="47" spans="1:7" ht="12.75" customHeight="1" x14ac:dyDescent="0.2">
      <c r="A47" s="29"/>
      <c r="B47" s="29"/>
    </row>
    <row r="48" spans="1:7" ht="13.5" customHeight="1" x14ac:dyDescent="0.25">
      <c r="A48" s="29"/>
      <c r="B48" s="29"/>
      <c r="D48" s="63" t="s">
        <v>34</v>
      </c>
    </row>
    <row r="49" spans="1:7" ht="15.75" customHeight="1" x14ac:dyDescent="0.2"/>
    <row r="50" spans="1:7" ht="15.75" customHeight="1" x14ac:dyDescent="0.2">
      <c r="A50" s="29"/>
      <c r="B50" s="29"/>
    </row>
    <row r="51" spans="1:7" ht="15.75" customHeight="1" x14ac:dyDescent="0.2">
      <c r="A51" s="29"/>
      <c r="B51" s="29"/>
    </row>
    <row r="52" spans="1:7" ht="15.75" customHeight="1" x14ac:dyDescent="0.2">
      <c r="A52" s="29"/>
      <c r="B52" s="29"/>
    </row>
    <row r="53" spans="1:7" ht="14.25" customHeight="1" x14ac:dyDescent="0.25">
      <c r="A53" s="29"/>
      <c r="B53" s="29"/>
      <c r="D53" s="63" t="str">
        <f>'Rincian Biaya Perjadin'!G50</f>
        <v>Dodi Oktavianto, S.E.</v>
      </c>
    </row>
    <row r="54" spans="1:7" ht="13.5" customHeight="1" x14ac:dyDescent="0.25">
      <c r="A54" s="29"/>
      <c r="B54" s="29"/>
      <c r="D54" s="63" t="s">
        <v>64</v>
      </c>
      <c r="E54" s="66"/>
    </row>
    <row r="55" spans="1:7" ht="15.75" customHeight="1" x14ac:dyDescent="0.2">
      <c r="A55" s="40"/>
      <c r="B55" s="40"/>
      <c r="C55" s="41"/>
      <c r="D55" s="41"/>
      <c r="E55" s="41"/>
      <c r="F55" s="41"/>
      <c r="G55" s="41"/>
    </row>
    <row r="56" spans="1:7" ht="15.75" customHeight="1" x14ac:dyDescent="0.25">
      <c r="A56" s="259" t="s">
        <v>0</v>
      </c>
      <c r="B56" s="259"/>
      <c r="C56" s="259"/>
      <c r="D56" s="259"/>
      <c r="E56" s="259"/>
      <c r="F56" s="259"/>
    </row>
    <row r="57" spans="1:7" ht="15.75" customHeight="1" x14ac:dyDescent="0.2">
      <c r="A57" s="29"/>
      <c r="B57" s="29"/>
    </row>
    <row r="58" spans="1:7" ht="15.75" customHeight="1" thickBot="1" x14ac:dyDescent="0.25">
      <c r="A58" s="30"/>
      <c r="B58" s="30"/>
      <c r="C58" s="31"/>
      <c r="D58" s="31"/>
      <c r="E58" s="31"/>
      <c r="F58" s="31"/>
    </row>
    <row r="59" spans="1:7" ht="15.75" customHeight="1" thickTop="1" x14ac:dyDescent="0.2">
      <c r="A59" s="32"/>
      <c r="B59" s="33"/>
      <c r="C59" s="34"/>
      <c r="E59" s="35"/>
      <c r="F59" s="34"/>
    </row>
    <row r="60" spans="1:7" ht="15.75" customHeight="1" x14ac:dyDescent="0.2">
      <c r="A60" s="45">
        <v>1</v>
      </c>
      <c r="B60" s="24" t="s">
        <v>1</v>
      </c>
      <c r="C60" s="36"/>
      <c r="D60" s="27" t="s">
        <v>2</v>
      </c>
      <c r="E60" s="27" t="str">
        <f>E5</f>
        <v>Dodi Oktavianto, S.E.</v>
      </c>
      <c r="F60" s="24"/>
    </row>
    <row r="61" spans="1:7" ht="15.75" customHeight="1" x14ac:dyDescent="0.2">
      <c r="A61" s="46"/>
      <c r="B61" s="47"/>
      <c r="C61" s="26"/>
      <c r="D61" s="25"/>
      <c r="E61" s="25"/>
      <c r="F61" s="26"/>
    </row>
    <row r="62" spans="1:7" ht="15.75" customHeight="1" x14ac:dyDescent="0.2">
      <c r="A62" s="45"/>
      <c r="B62" s="48"/>
      <c r="C62" s="24"/>
      <c r="D62" s="27"/>
      <c r="E62" s="27"/>
      <c r="F62" s="24"/>
    </row>
    <row r="63" spans="1:7" ht="15.75" customHeight="1" x14ac:dyDescent="0.2">
      <c r="A63" s="45">
        <v>2</v>
      </c>
      <c r="B63" s="24" t="s">
        <v>3</v>
      </c>
      <c r="C63" s="36"/>
      <c r="D63" s="27" t="s">
        <v>2</v>
      </c>
      <c r="E63" s="43" t="s">
        <v>184</v>
      </c>
      <c r="F63" s="24"/>
    </row>
    <row r="64" spans="1:7" ht="15.75" customHeight="1" x14ac:dyDescent="0.2">
      <c r="A64" s="45"/>
      <c r="B64" s="27" t="s">
        <v>4</v>
      </c>
      <c r="C64" s="37"/>
      <c r="D64" s="27"/>
      <c r="E64" s="65" t="str">
        <f>'Nominatif Format Baru'!C14</f>
        <v>196711191993032003</v>
      </c>
      <c r="F64" s="24"/>
    </row>
    <row r="65" spans="1:6" ht="15.75" customHeight="1" x14ac:dyDescent="0.2">
      <c r="A65" s="46"/>
      <c r="B65" s="47"/>
      <c r="C65" s="26"/>
      <c r="D65" s="25"/>
      <c r="E65" s="25"/>
      <c r="F65" s="24"/>
    </row>
    <row r="66" spans="1:6" ht="15.75" customHeight="1" x14ac:dyDescent="0.2">
      <c r="A66" s="45"/>
      <c r="B66" s="48"/>
      <c r="C66" s="24"/>
      <c r="D66" s="27"/>
      <c r="E66" s="49"/>
      <c r="F66" s="50"/>
    </row>
    <row r="67" spans="1:6" ht="15.75" customHeight="1" x14ac:dyDescent="0.2">
      <c r="A67" s="45">
        <v>3</v>
      </c>
      <c r="B67" s="48" t="s">
        <v>6</v>
      </c>
      <c r="C67" s="24" t="s">
        <v>7</v>
      </c>
      <c r="D67" s="48" t="s">
        <v>6</v>
      </c>
      <c r="E67" s="51" t="s">
        <v>168</v>
      </c>
      <c r="F67" s="24"/>
    </row>
    <row r="68" spans="1:6" ht="32.450000000000003" customHeight="1" x14ac:dyDescent="0.2">
      <c r="A68" s="45"/>
      <c r="B68" s="52" t="s">
        <v>8</v>
      </c>
      <c r="C68" s="53" t="s">
        <v>9</v>
      </c>
      <c r="D68" s="52" t="s">
        <v>8</v>
      </c>
      <c r="E68" s="260" t="s">
        <v>185</v>
      </c>
      <c r="F68" s="261"/>
    </row>
    <row r="69" spans="1:6" ht="15.75" customHeight="1" x14ac:dyDescent="0.2">
      <c r="A69" s="45"/>
      <c r="B69" s="48" t="s">
        <v>10</v>
      </c>
      <c r="C69" s="24" t="s">
        <v>11</v>
      </c>
      <c r="D69" s="48" t="s">
        <v>10</v>
      </c>
      <c r="E69" s="51" t="s">
        <v>151</v>
      </c>
      <c r="F69" s="24"/>
    </row>
    <row r="70" spans="1:6" ht="15.75" customHeight="1" x14ac:dyDescent="0.2">
      <c r="A70" s="46"/>
      <c r="B70" s="47"/>
      <c r="C70" s="26"/>
      <c r="D70" s="25"/>
      <c r="E70" s="25"/>
      <c r="F70" s="26"/>
    </row>
    <row r="71" spans="1:6" ht="15.75" customHeight="1" x14ac:dyDescent="0.2">
      <c r="A71" s="45"/>
      <c r="B71" s="48"/>
      <c r="C71" s="24"/>
      <c r="D71" s="27"/>
      <c r="E71" s="27"/>
      <c r="F71" s="24"/>
    </row>
    <row r="72" spans="1:6" ht="70.5" customHeight="1" x14ac:dyDescent="0.2">
      <c r="A72" s="54">
        <v>4</v>
      </c>
      <c r="B72" s="53" t="s">
        <v>12</v>
      </c>
      <c r="C72" s="37"/>
      <c r="D72" s="55"/>
      <c r="E72" s="262" t="str">
        <f>E17</f>
        <v>Mengikuti kegiatan Indonesia-Swiss Partnership to Advance Indonesia's Renewable Energy Workforce: Launch of Renewable Energy Skills Development (RESD) Phase 2</v>
      </c>
      <c r="F72" s="263"/>
    </row>
    <row r="73" spans="1:6" ht="15.75" customHeight="1" x14ac:dyDescent="0.2">
      <c r="A73" s="46"/>
      <c r="B73" s="47"/>
      <c r="C73" s="26"/>
      <c r="D73" s="25"/>
      <c r="E73" s="1"/>
      <c r="F73" s="56" t="s">
        <v>13</v>
      </c>
    </row>
    <row r="74" spans="1:6" ht="15.75" customHeight="1" x14ac:dyDescent="0.2">
      <c r="A74" s="45"/>
      <c r="B74" s="48"/>
      <c r="C74" s="24"/>
      <c r="D74" s="27"/>
      <c r="E74" s="27"/>
      <c r="F74" s="24"/>
    </row>
    <row r="75" spans="1:6" ht="15.75" customHeight="1" x14ac:dyDescent="0.2">
      <c r="A75" s="45">
        <v>5</v>
      </c>
      <c r="B75" s="49" t="s">
        <v>14</v>
      </c>
      <c r="C75" s="37"/>
      <c r="D75" s="27"/>
      <c r="E75" s="27" t="s">
        <v>155</v>
      </c>
      <c r="F75" s="24"/>
    </row>
    <row r="76" spans="1:6" ht="15.75" customHeight="1" x14ac:dyDescent="0.2">
      <c r="A76" s="46"/>
      <c r="B76" s="47"/>
      <c r="C76" s="26"/>
      <c r="D76" s="25"/>
      <c r="E76" s="25"/>
      <c r="F76" s="26"/>
    </row>
    <row r="77" spans="1:6" ht="15.75" customHeight="1" x14ac:dyDescent="0.2">
      <c r="A77" s="45"/>
      <c r="B77" s="48"/>
      <c r="C77" s="24"/>
      <c r="D77" s="27"/>
      <c r="E77" s="27"/>
      <c r="F77" s="24"/>
    </row>
    <row r="78" spans="1:6" ht="15.75" customHeight="1" x14ac:dyDescent="0.2">
      <c r="A78" s="45">
        <v>6</v>
      </c>
      <c r="B78" s="48" t="s">
        <v>6</v>
      </c>
      <c r="C78" s="24" t="s">
        <v>15</v>
      </c>
      <c r="D78" s="48" t="s">
        <v>6</v>
      </c>
      <c r="E78" s="49" t="s">
        <v>16</v>
      </c>
      <c r="F78" s="24"/>
    </row>
    <row r="79" spans="1:6" ht="15.75" customHeight="1" x14ac:dyDescent="0.2">
      <c r="A79" s="45"/>
      <c r="B79" s="48" t="s">
        <v>8</v>
      </c>
      <c r="C79" s="24" t="s">
        <v>17</v>
      </c>
      <c r="D79" s="48" t="s">
        <v>8</v>
      </c>
      <c r="E79" s="49" t="str">
        <f>E24</f>
        <v>Jakarta</v>
      </c>
      <c r="F79" s="24"/>
    </row>
    <row r="80" spans="1:6" ht="15.75" customHeight="1" x14ac:dyDescent="0.2">
      <c r="A80" s="46"/>
      <c r="B80" s="47"/>
      <c r="C80" s="26"/>
      <c r="D80" s="25"/>
      <c r="E80" s="25"/>
      <c r="F80" s="26"/>
    </row>
    <row r="81" spans="1:6" ht="15.75" customHeight="1" x14ac:dyDescent="0.2">
      <c r="A81" s="45"/>
      <c r="B81" s="48"/>
      <c r="C81" s="24"/>
      <c r="D81" s="27"/>
      <c r="E81" s="27"/>
      <c r="F81" s="24"/>
    </row>
    <row r="82" spans="1:6" ht="15.75" customHeight="1" x14ac:dyDescent="0.2">
      <c r="A82" s="45">
        <v>7</v>
      </c>
      <c r="B82" s="48" t="s">
        <v>6</v>
      </c>
      <c r="C82" s="24" t="s">
        <v>18</v>
      </c>
      <c r="D82" s="49"/>
      <c r="E82" s="49" t="str">
        <f>E27</f>
        <v>2 (Dua) Hari</v>
      </c>
      <c r="F82" s="57"/>
    </row>
    <row r="83" spans="1:6" ht="15.75" customHeight="1" x14ac:dyDescent="0.2">
      <c r="A83" s="45"/>
      <c r="B83" s="48" t="s">
        <v>8</v>
      </c>
      <c r="C83" s="24" t="s">
        <v>19</v>
      </c>
      <c r="D83" s="49"/>
      <c r="E83" s="44" t="s">
        <v>178</v>
      </c>
      <c r="F83" s="24"/>
    </row>
    <row r="84" spans="1:6" ht="15.75" customHeight="1" x14ac:dyDescent="0.2">
      <c r="A84" s="45"/>
      <c r="B84" s="48" t="s">
        <v>20</v>
      </c>
      <c r="C84" s="24" t="s">
        <v>21</v>
      </c>
      <c r="D84" s="49"/>
      <c r="E84" s="44" t="s">
        <v>179</v>
      </c>
      <c r="F84" s="24"/>
    </row>
    <row r="85" spans="1:6" ht="15.75" customHeight="1" x14ac:dyDescent="0.2">
      <c r="A85" s="46"/>
      <c r="B85" s="47"/>
      <c r="C85" s="26"/>
      <c r="D85" s="25"/>
      <c r="E85" s="25"/>
      <c r="F85" s="26"/>
    </row>
    <row r="86" spans="1:6" ht="15.75" customHeight="1" x14ac:dyDescent="0.2">
      <c r="A86" s="45"/>
      <c r="B86" s="48"/>
      <c r="C86" s="24"/>
      <c r="D86" s="27"/>
      <c r="E86" s="27"/>
      <c r="F86" s="24"/>
    </row>
    <row r="87" spans="1:6" ht="15.75" customHeight="1" x14ac:dyDescent="0.2">
      <c r="A87" s="45">
        <v>8</v>
      </c>
      <c r="B87" s="49" t="s">
        <v>22</v>
      </c>
      <c r="C87" s="24"/>
      <c r="D87" s="27"/>
      <c r="E87" s="27"/>
      <c r="F87" s="24"/>
    </row>
    <row r="88" spans="1:6" ht="15.75" customHeight="1" x14ac:dyDescent="0.2">
      <c r="A88" s="45"/>
      <c r="B88" s="48" t="s">
        <v>23</v>
      </c>
      <c r="C88" s="24"/>
      <c r="D88" s="27"/>
      <c r="E88" s="27"/>
      <c r="F88" s="24"/>
    </row>
    <row r="89" spans="1:6" ht="15.75" customHeight="1" x14ac:dyDescent="0.2">
      <c r="A89" s="45"/>
      <c r="B89" s="48" t="s">
        <v>24</v>
      </c>
      <c r="C89" s="24"/>
      <c r="D89" s="27"/>
      <c r="E89" s="27"/>
      <c r="F89" s="24"/>
    </row>
    <row r="90" spans="1:6" ht="15.75" customHeight="1" x14ac:dyDescent="0.2">
      <c r="A90" s="46"/>
      <c r="B90" s="47"/>
      <c r="C90" s="26"/>
      <c r="D90" s="25"/>
      <c r="E90" s="25"/>
      <c r="F90" s="26"/>
    </row>
    <row r="91" spans="1:6" ht="15.75" customHeight="1" x14ac:dyDescent="0.2">
      <c r="A91" s="45"/>
      <c r="B91" s="48"/>
      <c r="C91" s="24"/>
      <c r="D91" s="27"/>
      <c r="E91" s="27"/>
      <c r="F91" s="24"/>
    </row>
    <row r="92" spans="1:6" ht="15.75" customHeight="1" x14ac:dyDescent="0.2">
      <c r="A92" s="45">
        <v>9</v>
      </c>
      <c r="B92" s="49" t="s">
        <v>25</v>
      </c>
      <c r="C92" s="24"/>
      <c r="D92" s="27"/>
      <c r="E92" s="27"/>
      <c r="F92" s="24"/>
    </row>
    <row r="93" spans="1:6" ht="15.75" customHeight="1" x14ac:dyDescent="0.2">
      <c r="A93" s="45"/>
      <c r="B93" s="48" t="s">
        <v>6</v>
      </c>
      <c r="C93" s="24" t="s">
        <v>26</v>
      </c>
      <c r="D93" s="27"/>
      <c r="E93" s="27" t="s">
        <v>27</v>
      </c>
      <c r="F93" s="24"/>
    </row>
    <row r="94" spans="1:6" ht="15.75" customHeight="1" x14ac:dyDescent="0.2">
      <c r="A94" s="45"/>
      <c r="B94" s="48" t="s">
        <v>8</v>
      </c>
      <c r="C94" s="24" t="s">
        <v>28</v>
      </c>
      <c r="D94" s="27"/>
      <c r="E94" s="27"/>
      <c r="F94" s="24"/>
    </row>
    <row r="95" spans="1:6" ht="15.75" customHeight="1" x14ac:dyDescent="0.2">
      <c r="A95" s="46"/>
      <c r="B95" s="47"/>
      <c r="C95" s="26"/>
      <c r="D95" s="25"/>
      <c r="E95" s="25"/>
      <c r="F95" s="26"/>
    </row>
    <row r="96" spans="1:6" ht="15.75" customHeight="1" x14ac:dyDescent="0.2">
      <c r="A96" s="45"/>
      <c r="B96" s="48"/>
      <c r="C96" s="24"/>
      <c r="D96" s="27"/>
      <c r="E96" s="27"/>
      <c r="F96" s="24"/>
    </row>
    <row r="97" spans="1:6" ht="15.75" customHeight="1" x14ac:dyDescent="0.2">
      <c r="A97" s="45">
        <v>10</v>
      </c>
      <c r="B97" s="49" t="s">
        <v>29</v>
      </c>
      <c r="C97" s="24"/>
      <c r="D97" s="27"/>
      <c r="E97" s="27"/>
      <c r="F97" s="24"/>
    </row>
    <row r="98" spans="1:6" ht="15.75" customHeight="1" thickBot="1" x14ac:dyDescent="0.25">
      <c r="A98" s="58"/>
      <c r="B98" s="59"/>
      <c r="C98" s="60"/>
      <c r="D98" s="61"/>
      <c r="E98" s="61"/>
      <c r="F98" s="60"/>
    </row>
    <row r="99" spans="1:6" ht="15.75" customHeight="1" x14ac:dyDescent="0.2">
      <c r="A99" s="38"/>
      <c r="B99" s="38"/>
      <c r="D99" s="39"/>
    </row>
    <row r="100" spans="1:6" ht="15.75" customHeight="1" x14ac:dyDescent="0.25">
      <c r="A100" s="29"/>
      <c r="B100" s="62" t="s">
        <v>30</v>
      </c>
      <c r="D100" s="63" t="s">
        <v>31</v>
      </c>
      <c r="E100" s="63"/>
      <c r="F100" s="63" t="s">
        <v>32</v>
      </c>
    </row>
    <row r="101" spans="1:6" ht="15.75" customHeight="1" x14ac:dyDescent="0.2">
      <c r="A101" s="40"/>
      <c r="B101" s="40"/>
      <c r="C101" s="41"/>
      <c r="D101" s="258" t="s">
        <v>33</v>
      </c>
      <c r="E101" s="258"/>
      <c r="F101" s="64" t="s">
        <v>220</v>
      </c>
    </row>
    <row r="102" spans="1:6" ht="15.75" customHeight="1" x14ac:dyDescent="0.2">
      <c r="A102" s="29"/>
      <c r="B102" s="29"/>
    </row>
    <row r="103" spans="1:6" ht="15.75" customHeight="1" x14ac:dyDescent="0.25">
      <c r="A103" s="29"/>
      <c r="B103" s="29"/>
      <c r="D103" s="63" t="s">
        <v>34</v>
      </c>
    </row>
    <row r="104" spans="1:6" ht="15.75" customHeight="1" x14ac:dyDescent="0.2"/>
    <row r="105" spans="1:6" ht="15.75" customHeight="1" x14ac:dyDescent="0.2">
      <c r="A105" s="29"/>
      <c r="B105" s="29"/>
    </row>
    <row r="106" spans="1:6" ht="15.75" customHeight="1" x14ac:dyDescent="0.2">
      <c r="A106" s="29"/>
      <c r="B106" s="29"/>
    </row>
    <row r="107" spans="1:6" ht="15.75" customHeight="1" x14ac:dyDescent="0.2">
      <c r="A107" s="29"/>
      <c r="B107" s="29"/>
    </row>
    <row r="108" spans="1:6" ht="15.75" customHeight="1" x14ac:dyDescent="0.25">
      <c r="A108" s="29"/>
      <c r="B108" s="29"/>
      <c r="D108" s="63" t="str">
        <f>D53</f>
        <v>Dodi Oktavianto, S.E.</v>
      </c>
    </row>
    <row r="109" spans="1:6" ht="15.75" customHeight="1" x14ac:dyDescent="0.25">
      <c r="A109" s="29"/>
      <c r="B109" s="29"/>
      <c r="D109" s="63" t="str">
        <f>D54</f>
        <v>NIP. 197810032008101001</v>
      </c>
      <c r="E109" s="66"/>
    </row>
    <row r="110" spans="1:6" ht="15.75" customHeight="1" x14ac:dyDescent="0.2">
      <c r="A110" s="29"/>
      <c r="B110" s="29"/>
    </row>
    <row r="111" spans="1:6" ht="15.75" customHeight="1" x14ac:dyDescent="0.2">
      <c r="A111" s="29"/>
      <c r="B111" s="29"/>
    </row>
    <row r="112" spans="1:6" ht="15.75" customHeight="1" x14ac:dyDescent="0.2">
      <c r="A112" s="29"/>
      <c r="B112" s="29"/>
    </row>
    <row r="113" spans="1:8" ht="15.75" customHeight="1" x14ac:dyDescent="0.2">
      <c r="A113" s="29"/>
      <c r="B113" s="29"/>
    </row>
    <row r="114" spans="1:8" ht="15.75" customHeight="1" x14ac:dyDescent="0.2">
      <c r="A114" s="29"/>
      <c r="B114" s="29"/>
      <c r="H114" s="28" t="s">
        <v>5</v>
      </c>
    </row>
    <row r="115" spans="1:8" ht="15.75" customHeight="1" x14ac:dyDescent="0.2">
      <c r="A115" s="29"/>
      <c r="B115" s="29"/>
    </row>
    <row r="116" spans="1:8" ht="15.75" customHeight="1" x14ac:dyDescent="0.2">
      <c r="A116" s="29"/>
      <c r="B116" s="29"/>
    </row>
    <row r="117" spans="1:8" ht="15.75" customHeight="1" x14ac:dyDescent="0.2">
      <c r="A117" s="29"/>
      <c r="B117" s="29"/>
    </row>
    <row r="118" spans="1:8" ht="15.75" customHeight="1" x14ac:dyDescent="0.2">
      <c r="A118" s="29"/>
      <c r="B118" s="29"/>
    </row>
    <row r="119" spans="1:8" ht="15.75" customHeight="1" x14ac:dyDescent="0.2">
      <c r="A119" s="29"/>
      <c r="B119" s="29"/>
    </row>
    <row r="120" spans="1:8" ht="15.75" customHeight="1" x14ac:dyDescent="0.2">
      <c r="A120" s="29"/>
      <c r="B120" s="29"/>
    </row>
    <row r="121" spans="1:8" ht="15.75" customHeight="1" x14ac:dyDescent="0.2">
      <c r="A121" s="29"/>
      <c r="B121" s="29"/>
    </row>
    <row r="122" spans="1:8" ht="15.75" customHeight="1" x14ac:dyDescent="0.2">
      <c r="A122" s="29"/>
      <c r="B122" s="29"/>
    </row>
    <row r="123" spans="1:8" ht="15.75" customHeight="1" x14ac:dyDescent="0.2">
      <c r="A123" s="29"/>
      <c r="B123" s="29"/>
    </row>
    <row r="124" spans="1:8" ht="15.75" customHeight="1" x14ac:dyDescent="0.2">
      <c r="A124" s="29"/>
      <c r="B124" s="29"/>
    </row>
    <row r="125" spans="1:8" ht="15.75" customHeight="1" x14ac:dyDescent="0.2">
      <c r="A125" s="29"/>
      <c r="B125" s="29"/>
    </row>
    <row r="126" spans="1:8" ht="15.75" customHeight="1" x14ac:dyDescent="0.2">
      <c r="A126" s="29"/>
      <c r="B126" s="29"/>
    </row>
    <row r="127" spans="1:8" ht="15.75" customHeight="1" x14ac:dyDescent="0.2">
      <c r="A127" s="29"/>
      <c r="B127" s="29"/>
    </row>
    <row r="128" spans="1:8" ht="15.75" customHeight="1" x14ac:dyDescent="0.2">
      <c r="A128" s="29"/>
      <c r="B128" s="29"/>
    </row>
    <row r="129" spans="1:2" ht="15.75" customHeight="1" x14ac:dyDescent="0.2">
      <c r="A129" s="29"/>
      <c r="B129" s="29"/>
    </row>
    <row r="130" spans="1:2" ht="15.75" customHeight="1" x14ac:dyDescent="0.2">
      <c r="A130" s="29"/>
      <c r="B130" s="29"/>
    </row>
    <row r="131" spans="1:2" ht="15.75" customHeight="1" x14ac:dyDescent="0.2">
      <c r="A131" s="29"/>
      <c r="B131" s="29"/>
    </row>
    <row r="132" spans="1:2" ht="15.75" customHeight="1" x14ac:dyDescent="0.2">
      <c r="A132" s="29"/>
      <c r="B132" s="29"/>
    </row>
    <row r="133" spans="1:2" ht="15.75" customHeight="1" x14ac:dyDescent="0.2">
      <c r="A133" s="29"/>
      <c r="B133" s="29"/>
    </row>
    <row r="134" spans="1:2" ht="15.75" customHeight="1" x14ac:dyDescent="0.2">
      <c r="A134" s="29"/>
      <c r="B134" s="29"/>
    </row>
    <row r="135" spans="1:2" ht="15.75" customHeight="1" x14ac:dyDescent="0.2">
      <c r="A135" s="29"/>
      <c r="B135" s="29"/>
    </row>
    <row r="136" spans="1:2" ht="15.75" customHeight="1" x14ac:dyDescent="0.2">
      <c r="A136" s="29"/>
      <c r="B136" s="29"/>
    </row>
    <row r="137" spans="1:2" ht="15.75" customHeight="1" x14ac:dyDescent="0.2">
      <c r="A137" s="29"/>
      <c r="B137" s="29"/>
    </row>
    <row r="138" spans="1:2" ht="15.75" customHeight="1" x14ac:dyDescent="0.2">
      <c r="A138" s="29"/>
      <c r="B138" s="29"/>
    </row>
    <row r="139" spans="1:2" ht="15.75" customHeight="1" x14ac:dyDescent="0.2">
      <c r="A139" s="29"/>
      <c r="B139" s="29"/>
    </row>
    <row r="140" spans="1:2" ht="15.75" customHeight="1" x14ac:dyDescent="0.2">
      <c r="A140" s="29"/>
      <c r="B140" s="29"/>
    </row>
    <row r="141" spans="1:2" ht="15.75" customHeight="1" x14ac:dyDescent="0.2">
      <c r="A141" s="29"/>
      <c r="B141" s="29"/>
    </row>
    <row r="142" spans="1:2" ht="15.75" customHeight="1" x14ac:dyDescent="0.2">
      <c r="A142" s="29"/>
      <c r="B142" s="29"/>
    </row>
  </sheetData>
  <mergeCells count="9">
    <mergeCell ref="D101:E101"/>
    <mergeCell ref="A1:F1"/>
    <mergeCell ref="E13:F13"/>
    <mergeCell ref="E17:F17"/>
    <mergeCell ref="I17:S17"/>
    <mergeCell ref="D46:E46"/>
    <mergeCell ref="A56:F56"/>
    <mergeCell ref="E68:F68"/>
    <mergeCell ref="E72:F72"/>
  </mergeCells>
  <printOptions horizontalCentered="1"/>
  <pageMargins left="0.31496062992125984" right="0" top="0.94488188976377963" bottom="0.74803149606299213" header="0.31496062992125984" footer="0.31496062992125984"/>
  <pageSetup paperSize="9" scale="81" fitToWidth="0" orientation="portrait" horizontalDpi="360" verticalDpi="360" r:id="rId1"/>
  <colBreaks count="1" manualBreakCount="1">
    <brk id="6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view="pageBreakPreview" topLeftCell="A94" zoomScale="90" zoomScaleNormal="100" zoomScaleSheetLayoutView="90" workbookViewId="0">
      <selection activeCell="F105" sqref="F105"/>
    </sheetView>
  </sheetViews>
  <sheetFormatPr defaultRowHeight="14.25" x14ac:dyDescent="0.2"/>
  <cols>
    <col min="1" max="1" width="3.5703125" style="28" customWidth="1"/>
    <col min="2" max="2" width="4.140625" style="28" customWidth="1"/>
    <col min="3" max="3" width="51.140625" style="28" customWidth="1"/>
    <col min="4" max="4" width="4.85546875" style="28" customWidth="1"/>
    <col min="5" max="5" width="13.85546875" style="28" customWidth="1"/>
    <col min="6" max="6" width="31" style="28" customWidth="1"/>
    <col min="7" max="256" width="9.140625" style="28"/>
    <col min="257" max="257" width="3.5703125" style="28" customWidth="1"/>
    <col min="258" max="258" width="4.140625" style="28" customWidth="1"/>
    <col min="259" max="259" width="41.5703125" style="28" customWidth="1"/>
    <col min="260" max="260" width="4.28515625" style="28" customWidth="1"/>
    <col min="261" max="261" width="13.85546875" style="28" customWidth="1"/>
    <col min="262" max="262" width="31" style="28" customWidth="1"/>
    <col min="263" max="512" width="9.140625" style="28"/>
    <col min="513" max="513" width="3.5703125" style="28" customWidth="1"/>
    <col min="514" max="514" width="4.140625" style="28" customWidth="1"/>
    <col min="515" max="515" width="41.5703125" style="28" customWidth="1"/>
    <col min="516" max="516" width="4.28515625" style="28" customWidth="1"/>
    <col min="517" max="517" width="13.85546875" style="28" customWidth="1"/>
    <col min="518" max="518" width="31" style="28" customWidth="1"/>
    <col min="519" max="768" width="9.140625" style="28"/>
    <col min="769" max="769" width="3.5703125" style="28" customWidth="1"/>
    <col min="770" max="770" width="4.140625" style="28" customWidth="1"/>
    <col min="771" max="771" width="41.5703125" style="28" customWidth="1"/>
    <col min="772" max="772" width="4.28515625" style="28" customWidth="1"/>
    <col min="773" max="773" width="13.85546875" style="28" customWidth="1"/>
    <col min="774" max="774" width="31" style="28" customWidth="1"/>
    <col min="775" max="1024" width="9.140625" style="28"/>
    <col min="1025" max="1025" width="3.5703125" style="28" customWidth="1"/>
    <col min="1026" max="1026" width="4.140625" style="28" customWidth="1"/>
    <col min="1027" max="1027" width="41.5703125" style="28" customWidth="1"/>
    <col min="1028" max="1028" width="4.28515625" style="28" customWidth="1"/>
    <col min="1029" max="1029" width="13.85546875" style="28" customWidth="1"/>
    <col min="1030" max="1030" width="31" style="28" customWidth="1"/>
    <col min="1031" max="1280" width="9.140625" style="28"/>
    <col min="1281" max="1281" width="3.5703125" style="28" customWidth="1"/>
    <col min="1282" max="1282" width="4.140625" style="28" customWidth="1"/>
    <col min="1283" max="1283" width="41.5703125" style="28" customWidth="1"/>
    <col min="1284" max="1284" width="4.28515625" style="28" customWidth="1"/>
    <col min="1285" max="1285" width="13.85546875" style="28" customWidth="1"/>
    <col min="1286" max="1286" width="31" style="28" customWidth="1"/>
    <col min="1287" max="1536" width="9.140625" style="28"/>
    <col min="1537" max="1537" width="3.5703125" style="28" customWidth="1"/>
    <col min="1538" max="1538" width="4.140625" style="28" customWidth="1"/>
    <col min="1539" max="1539" width="41.5703125" style="28" customWidth="1"/>
    <col min="1540" max="1540" width="4.28515625" style="28" customWidth="1"/>
    <col min="1541" max="1541" width="13.85546875" style="28" customWidth="1"/>
    <col min="1542" max="1542" width="31" style="28" customWidth="1"/>
    <col min="1543" max="1792" width="9.140625" style="28"/>
    <col min="1793" max="1793" width="3.5703125" style="28" customWidth="1"/>
    <col min="1794" max="1794" width="4.140625" style="28" customWidth="1"/>
    <col min="1795" max="1795" width="41.5703125" style="28" customWidth="1"/>
    <col min="1796" max="1796" width="4.28515625" style="28" customWidth="1"/>
    <col min="1797" max="1797" width="13.85546875" style="28" customWidth="1"/>
    <col min="1798" max="1798" width="31" style="28" customWidth="1"/>
    <col min="1799" max="2048" width="9.140625" style="28"/>
    <col min="2049" max="2049" width="3.5703125" style="28" customWidth="1"/>
    <col min="2050" max="2050" width="4.140625" style="28" customWidth="1"/>
    <col min="2051" max="2051" width="41.5703125" style="28" customWidth="1"/>
    <col min="2052" max="2052" width="4.28515625" style="28" customWidth="1"/>
    <col min="2053" max="2053" width="13.85546875" style="28" customWidth="1"/>
    <col min="2054" max="2054" width="31" style="28" customWidth="1"/>
    <col min="2055" max="2304" width="9.140625" style="28"/>
    <col min="2305" max="2305" width="3.5703125" style="28" customWidth="1"/>
    <col min="2306" max="2306" width="4.140625" style="28" customWidth="1"/>
    <col min="2307" max="2307" width="41.5703125" style="28" customWidth="1"/>
    <col min="2308" max="2308" width="4.28515625" style="28" customWidth="1"/>
    <col min="2309" max="2309" width="13.85546875" style="28" customWidth="1"/>
    <col min="2310" max="2310" width="31" style="28" customWidth="1"/>
    <col min="2311" max="2560" width="9.140625" style="28"/>
    <col min="2561" max="2561" width="3.5703125" style="28" customWidth="1"/>
    <col min="2562" max="2562" width="4.140625" style="28" customWidth="1"/>
    <col min="2563" max="2563" width="41.5703125" style="28" customWidth="1"/>
    <col min="2564" max="2564" width="4.28515625" style="28" customWidth="1"/>
    <col min="2565" max="2565" width="13.85546875" style="28" customWidth="1"/>
    <col min="2566" max="2566" width="31" style="28" customWidth="1"/>
    <col min="2567" max="2816" width="9.140625" style="28"/>
    <col min="2817" max="2817" width="3.5703125" style="28" customWidth="1"/>
    <col min="2818" max="2818" width="4.140625" style="28" customWidth="1"/>
    <col min="2819" max="2819" width="41.5703125" style="28" customWidth="1"/>
    <col min="2820" max="2820" width="4.28515625" style="28" customWidth="1"/>
    <col min="2821" max="2821" width="13.85546875" style="28" customWidth="1"/>
    <col min="2822" max="2822" width="31" style="28" customWidth="1"/>
    <col min="2823" max="3072" width="9.140625" style="28"/>
    <col min="3073" max="3073" width="3.5703125" style="28" customWidth="1"/>
    <col min="3074" max="3074" width="4.140625" style="28" customWidth="1"/>
    <col min="3075" max="3075" width="41.5703125" style="28" customWidth="1"/>
    <col min="3076" max="3076" width="4.28515625" style="28" customWidth="1"/>
    <col min="3077" max="3077" width="13.85546875" style="28" customWidth="1"/>
    <col min="3078" max="3078" width="31" style="28" customWidth="1"/>
    <col min="3079" max="3328" width="9.140625" style="28"/>
    <col min="3329" max="3329" width="3.5703125" style="28" customWidth="1"/>
    <col min="3330" max="3330" width="4.140625" style="28" customWidth="1"/>
    <col min="3331" max="3331" width="41.5703125" style="28" customWidth="1"/>
    <col min="3332" max="3332" width="4.28515625" style="28" customWidth="1"/>
    <col min="3333" max="3333" width="13.85546875" style="28" customWidth="1"/>
    <col min="3334" max="3334" width="31" style="28" customWidth="1"/>
    <col min="3335" max="3584" width="9.140625" style="28"/>
    <col min="3585" max="3585" width="3.5703125" style="28" customWidth="1"/>
    <col min="3586" max="3586" width="4.140625" style="28" customWidth="1"/>
    <col min="3587" max="3587" width="41.5703125" style="28" customWidth="1"/>
    <col min="3588" max="3588" width="4.28515625" style="28" customWidth="1"/>
    <col min="3589" max="3589" width="13.85546875" style="28" customWidth="1"/>
    <col min="3590" max="3590" width="31" style="28" customWidth="1"/>
    <col min="3591" max="3840" width="9.140625" style="28"/>
    <col min="3841" max="3841" width="3.5703125" style="28" customWidth="1"/>
    <col min="3842" max="3842" width="4.140625" style="28" customWidth="1"/>
    <col min="3843" max="3843" width="41.5703125" style="28" customWidth="1"/>
    <col min="3844" max="3844" width="4.28515625" style="28" customWidth="1"/>
    <col min="3845" max="3845" width="13.85546875" style="28" customWidth="1"/>
    <col min="3846" max="3846" width="31" style="28" customWidth="1"/>
    <col min="3847" max="4096" width="9.140625" style="28"/>
    <col min="4097" max="4097" width="3.5703125" style="28" customWidth="1"/>
    <col min="4098" max="4098" width="4.140625" style="28" customWidth="1"/>
    <col min="4099" max="4099" width="41.5703125" style="28" customWidth="1"/>
    <col min="4100" max="4100" width="4.28515625" style="28" customWidth="1"/>
    <col min="4101" max="4101" width="13.85546875" style="28" customWidth="1"/>
    <col min="4102" max="4102" width="31" style="28" customWidth="1"/>
    <col min="4103" max="4352" width="9.140625" style="28"/>
    <col min="4353" max="4353" width="3.5703125" style="28" customWidth="1"/>
    <col min="4354" max="4354" width="4.140625" style="28" customWidth="1"/>
    <col min="4355" max="4355" width="41.5703125" style="28" customWidth="1"/>
    <col min="4356" max="4356" width="4.28515625" style="28" customWidth="1"/>
    <col min="4357" max="4357" width="13.85546875" style="28" customWidth="1"/>
    <col min="4358" max="4358" width="31" style="28" customWidth="1"/>
    <col min="4359" max="4608" width="9.140625" style="28"/>
    <col min="4609" max="4609" width="3.5703125" style="28" customWidth="1"/>
    <col min="4610" max="4610" width="4.140625" style="28" customWidth="1"/>
    <col min="4611" max="4611" width="41.5703125" style="28" customWidth="1"/>
    <col min="4612" max="4612" width="4.28515625" style="28" customWidth="1"/>
    <col min="4613" max="4613" width="13.85546875" style="28" customWidth="1"/>
    <col min="4614" max="4614" width="31" style="28" customWidth="1"/>
    <col min="4615" max="4864" width="9.140625" style="28"/>
    <col min="4865" max="4865" width="3.5703125" style="28" customWidth="1"/>
    <col min="4866" max="4866" width="4.140625" style="28" customWidth="1"/>
    <col min="4867" max="4867" width="41.5703125" style="28" customWidth="1"/>
    <col min="4868" max="4868" width="4.28515625" style="28" customWidth="1"/>
    <col min="4869" max="4869" width="13.85546875" style="28" customWidth="1"/>
    <col min="4870" max="4870" width="31" style="28" customWidth="1"/>
    <col min="4871" max="5120" width="9.140625" style="28"/>
    <col min="5121" max="5121" width="3.5703125" style="28" customWidth="1"/>
    <col min="5122" max="5122" width="4.140625" style="28" customWidth="1"/>
    <col min="5123" max="5123" width="41.5703125" style="28" customWidth="1"/>
    <col min="5124" max="5124" width="4.28515625" style="28" customWidth="1"/>
    <col min="5125" max="5125" width="13.85546875" style="28" customWidth="1"/>
    <col min="5126" max="5126" width="31" style="28" customWidth="1"/>
    <col min="5127" max="5376" width="9.140625" style="28"/>
    <col min="5377" max="5377" width="3.5703125" style="28" customWidth="1"/>
    <col min="5378" max="5378" width="4.140625" style="28" customWidth="1"/>
    <col min="5379" max="5379" width="41.5703125" style="28" customWidth="1"/>
    <col min="5380" max="5380" width="4.28515625" style="28" customWidth="1"/>
    <col min="5381" max="5381" width="13.85546875" style="28" customWidth="1"/>
    <col min="5382" max="5382" width="31" style="28" customWidth="1"/>
    <col min="5383" max="5632" width="9.140625" style="28"/>
    <col min="5633" max="5633" width="3.5703125" style="28" customWidth="1"/>
    <col min="5634" max="5634" width="4.140625" style="28" customWidth="1"/>
    <col min="5635" max="5635" width="41.5703125" style="28" customWidth="1"/>
    <col min="5636" max="5636" width="4.28515625" style="28" customWidth="1"/>
    <col min="5637" max="5637" width="13.85546875" style="28" customWidth="1"/>
    <col min="5638" max="5638" width="31" style="28" customWidth="1"/>
    <col min="5639" max="5888" width="9.140625" style="28"/>
    <col min="5889" max="5889" width="3.5703125" style="28" customWidth="1"/>
    <col min="5890" max="5890" width="4.140625" style="28" customWidth="1"/>
    <col min="5891" max="5891" width="41.5703125" style="28" customWidth="1"/>
    <col min="5892" max="5892" width="4.28515625" style="28" customWidth="1"/>
    <col min="5893" max="5893" width="13.85546875" style="28" customWidth="1"/>
    <col min="5894" max="5894" width="31" style="28" customWidth="1"/>
    <col min="5895" max="6144" width="9.140625" style="28"/>
    <col min="6145" max="6145" width="3.5703125" style="28" customWidth="1"/>
    <col min="6146" max="6146" width="4.140625" style="28" customWidth="1"/>
    <col min="6147" max="6147" width="41.5703125" style="28" customWidth="1"/>
    <col min="6148" max="6148" width="4.28515625" style="28" customWidth="1"/>
    <col min="6149" max="6149" width="13.85546875" style="28" customWidth="1"/>
    <col min="6150" max="6150" width="31" style="28" customWidth="1"/>
    <col min="6151" max="6400" width="9.140625" style="28"/>
    <col min="6401" max="6401" width="3.5703125" style="28" customWidth="1"/>
    <col min="6402" max="6402" width="4.140625" style="28" customWidth="1"/>
    <col min="6403" max="6403" width="41.5703125" style="28" customWidth="1"/>
    <col min="6404" max="6404" width="4.28515625" style="28" customWidth="1"/>
    <col min="6405" max="6405" width="13.85546875" style="28" customWidth="1"/>
    <col min="6406" max="6406" width="31" style="28" customWidth="1"/>
    <col min="6407" max="6656" width="9.140625" style="28"/>
    <col min="6657" max="6657" width="3.5703125" style="28" customWidth="1"/>
    <col min="6658" max="6658" width="4.140625" style="28" customWidth="1"/>
    <col min="6659" max="6659" width="41.5703125" style="28" customWidth="1"/>
    <col min="6660" max="6660" width="4.28515625" style="28" customWidth="1"/>
    <col min="6661" max="6661" width="13.85546875" style="28" customWidth="1"/>
    <col min="6662" max="6662" width="31" style="28" customWidth="1"/>
    <col min="6663" max="6912" width="9.140625" style="28"/>
    <col min="6913" max="6913" width="3.5703125" style="28" customWidth="1"/>
    <col min="6914" max="6914" width="4.140625" style="28" customWidth="1"/>
    <col min="6915" max="6915" width="41.5703125" style="28" customWidth="1"/>
    <col min="6916" max="6916" width="4.28515625" style="28" customWidth="1"/>
    <col min="6917" max="6917" width="13.85546875" style="28" customWidth="1"/>
    <col min="6918" max="6918" width="31" style="28" customWidth="1"/>
    <col min="6919" max="7168" width="9.140625" style="28"/>
    <col min="7169" max="7169" width="3.5703125" style="28" customWidth="1"/>
    <col min="7170" max="7170" width="4.140625" style="28" customWidth="1"/>
    <col min="7171" max="7171" width="41.5703125" style="28" customWidth="1"/>
    <col min="7172" max="7172" width="4.28515625" style="28" customWidth="1"/>
    <col min="7173" max="7173" width="13.85546875" style="28" customWidth="1"/>
    <col min="7174" max="7174" width="31" style="28" customWidth="1"/>
    <col min="7175" max="7424" width="9.140625" style="28"/>
    <col min="7425" max="7425" width="3.5703125" style="28" customWidth="1"/>
    <col min="7426" max="7426" width="4.140625" style="28" customWidth="1"/>
    <col min="7427" max="7427" width="41.5703125" style="28" customWidth="1"/>
    <col min="7428" max="7428" width="4.28515625" style="28" customWidth="1"/>
    <col min="7429" max="7429" width="13.85546875" style="28" customWidth="1"/>
    <col min="7430" max="7430" width="31" style="28" customWidth="1"/>
    <col min="7431" max="7680" width="9.140625" style="28"/>
    <col min="7681" max="7681" width="3.5703125" style="28" customWidth="1"/>
    <col min="7682" max="7682" width="4.140625" style="28" customWidth="1"/>
    <col min="7683" max="7683" width="41.5703125" style="28" customWidth="1"/>
    <col min="7684" max="7684" width="4.28515625" style="28" customWidth="1"/>
    <col min="7685" max="7685" width="13.85546875" style="28" customWidth="1"/>
    <col min="7686" max="7686" width="31" style="28" customWidth="1"/>
    <col min="7687" max="7936" width="9.140625" style="28"/>
    <col min="7937" max="7937" width="3.5703125" style="28" customWidth="1"/>
    <col min="7938" max="7938" width="4.140625" style="28" customWidth="1"/>
    <col min="7939" max="7939" width="41.5703125" style="28" customWidth="1"/>
    <col min="7940" max="7940" width="4.28515625" style="28" customWidth="1"/>
    <col min="7941" max="7941" width="13.85546875" style="28" customWidth="1"/>
    <col min="7942" max="7942" width="31" style="28" customWidth="1"/>
    <col min="7943" max="8192" width="9.140625" style="28"/>
    <col min="8193" max="8193" width="3.5703125" style="28" customWidth="1"/>
    <col min="8194" max="8194" width="4.140625" style="28" customWidth="1"/>
    <col min="8195" max="8195" width="41.5703125" style="28" customWidth="1"/>
    <col min="8196" max="8196" width="4.28515625" style="28" customWidth="1"/>
    <col min="8197" max="8197" width="13.85546875" style="28" customWidth="1"/>
    <col min="8198" max="8198" width="31" style="28" customWidth="1"/>
    <col min="8199" max="8448" width="9.140625" style="28"/>
    <col min="8449" max="8449" width="3.5703125" style="28" customWidth="1"/>
    <col min="8450" max="8450" width="4.140625" style="28" customWidth="1"/>
    <col min="8451" max="8451" width="41.5703125" style="28" customWidth="1"/>
    <col min="8452" max="8452" width="4.28515625" style="28" customWidth="1"/>
    <col min="8453" max="8453" width="13.85546875" style="28" customWidth="1"/>
    <col min="8454" max="8454" width="31" style="28" customWidth="1"/>
    <col min="8455" max="8704" width="9.140625" style="28"/>
    <col min="8705" max="8705" width="3.5703125" style="28" customWidth="1"/>
    <col min="8706" max="8706" width="4.140625" style="28" customWidth="1"/>
    <col min="8707" max="8707" width="41.5703125" style="28" customWidth="1"/>
    <col min="8708" max="8708" width="4.28515625" style="28" customWidth="1"/>
    <col min="8709" max="8709" width="13.85546875" style="28" customWidth="1"/>
    <col min="8710" max="8710" width="31" style="28" customWidth="1"/>
    <col min="8711" max="8960" width="9.140625" style="28"/>
    <col min="8961" max="8961" width="3.5703125" style="28" customWidth="1"/>
    <col min="8962" max="8962" width="4.140625" style="28" customWidth="1"/>
    <col min="8963" max="8963" width="41.5703125" style="28" customWidth="1"/>
    <col min="8964" max="8964" width="4.28515625" style="28" customWidth="1"/>
    <col min="8965" max="8965" width="13.85546875" style="28" customWidth="1"/>
    <col min="8966" max="8966" width="31" style="28" customWidth="1"/>
    <col min="8967" max="9216" width="9.140625" style="28"/>
    <col min="9217" max="9217" width="3.5703125" style="28" customWidth="1"/>
    <col min="9218" max="9218" width="4.140625" style="28" customWidth="1"/>
    <col min="9219" max="9219" width="41.5703125" style="28" customWidth="1"/>
    <col min="9220" max="9220" width="4.28515625" style="28" customWidth="1"/>
    <col min="9221" max="9221" width="13.85546875" style="28" customWidth="1"/>
    <col min="9222" max="9222" width="31" style="28" customWidth="1"/>
    <col min="9223" max="9472" width="9.140625" style="28"/>
    <col min="9473" max="9473" width="3.5703125" style="28" customWidth="1"/>
    <col min="9474" max="9474" width="4.140625" style="28" customWidth="1"/>
    <col min="9475" max="9475" width="41.5703125" style="28" customWidth="1"/>
    <col min="9476" max="9476" width="4.28515625" style="28" customWidth="1"/>
    <col min="9477" max="9477" width="13.85546875" style="28" customWidth="1"/>
    <col min="9478" max="9478" width="31" style="28" customWidth="1"/>
    <col min="9479" max="9728" width="9.140625" style="28"/>
    <col min="9729" max="9729" width="3.5703125" style="28" customWidth="1"/>
    <col min="9730" max="9730" width="4.140625" style="28" customWidth="1"/>
    <col min="9731" max="9731" width="41.5703125" style="28" customWidth="1"/>
    <col min="9732" max="9732" width="4.28515625" style="28" customWidth="1"/>
    <col min="9733" max="9733" width="13.85546875" style="28" customWidth="1"/>
    <col min="9734" max="9734" width="31" style="28" customWidth="1"/>
    <col min="9735" max="9984" width="9.140625" style="28"/>
    <col min="9985" max="9985" width="3.5703125" style="28" customWidth="1"/>
    <col min="9986" max="9986" width="4.140625" style="28" customWidth="1"/>
    <col min="9987" max="9987" width="41.5703125" style="28" customWidth="1"/>
    <col min="9988" max="9988" width="4.28515625" style="28" customWidth="1"/>
    <col min="9989" max="9989" width="13.85546875" style="28" customWidth="1"/>
    <col min="9990" max="9990" width="31" style="28" customWidth="1"/>
    <col min="9991" max="10240" width="9.140625" style="28"/>
    <col min="10241" max="10241" width="3.5703125" style="28" customWidth="1"/>
    <col min="10242" max="10242" width="4.140625" style="28" customWidth="1"/>
    <col min="10243" max="10243" width="41.5703125" style="28" customWidth="1"/>
    <col min="10244" max="10244" width="4.28515625" style="28" customWidth="1"/>
    <col min="10245" max="10245" width="13.85546875" style="28" customWidth="1"/>
    <col min="10246" max="10246" width="31" style="28" customWidth="1"/>
    <col min="10247" max="10496" width="9.140625" style="28"/>
    <col min="10497" max="10497" width="3.5703125" style="28" customWidth="1"/>
    <col min="10498" max="10498" width="4.140625" style="28" customWidth="1"/>
    <col min="10499" max="10499" width="41.5703125" style="28" customWidth="1"/>
    <col min="10500" max="10500" width="4.28515625" style="28" customWidth="1"/>
    <col min="10501" max="10501" width="13.85546875" style="28" customWidth="1"/>
    <col min="10502" max="10502" width="31" style="28" customWidth="1"/>
    <col min="10503" max="10752" width="9.140625" style="28"/>
    <col min="10753" max="10753" width="3.5703125" style="28" customWidth="1"/>
    <col min="10754" max="10754" width="4.140625" style="28" customWidth="1"/>
    <col min="10755" max="10755" width="41.5703125" style="28" customWidth="1"/>
    <col min="10756" max="10756" width="4.28515625" style="28" customWidth="1"/>
    <col min="10757" max="10757" width="13.85546875" style="28" customWidth="1"/>
    <col min="10758" max="10758" width="31" style="28" customWidth="1"/>
    <col min="10759" max="11008" width="9.140625" style="28"/>
    <col min="11009" max="11009" width="3.5703125" style="28" customWidth="1"/>
    <col min="11010" max="11010" width="4.140625" style="28" customWidth="1"/>
    <col min="11011" max="11011" width="41.5703125" style="28" customWidth="1"/>
    <col min="11012" max="11012" width="4.28515625" style="28" customWidth="1"/>
    <col min="11013" max="11013" width="13.85546875" style="28" customWidth="1"/>
    <col min="11014" max="11014" width="31" style="28" customWidth="1"/>
    <col min="11015" max="11264" width="9.140625" style="28"/>
    <col min="11265" max="11265" width="3.5703125" style="28" customWidth="1"/>
    <col min="11266" max="11266" width="4.140625" style="28" customWidth="1"/>
    <col min="11267" max="11267" width="41.5703125" style="28" customWidth="1"/>
    <col min="11268" max="11268" width="4.28515625" style="28" customWidth="1"/>
    <col min="11269" max="11269" width="13.85546875" style="28" customWidth="1"/>
    <col min="11270" max="11270" width="31" style="28" customWidth="1"/>
    <col min="11271" max="11520" width="9.140625" style="28"/>
    <col min="11521" max="11521" width="3.5703125" style="28" customWidth="1"/>
    <col min="11522" max="11522" width="4.140625" style="28" customWidth="1"/>
    <col min="11523" max="11523" width="41.5703125" style="28" customWidth="1"/>
    <col min="11524" max="11524" width="4.28515625" style="28" customWidth="1"/>
    <col min="11525" max="11525" width="13.85546875" style="28" customWidth="1"/>
    <col min="11526" max="11526" width="31" style="28" customWidth="1"/>
    <col min="11527" max="11776" width="9.140625" style="28"/>
    <col min="11777" max="11777" width="3.5703125" style="28" customWidth="1"/>
    <col min="11778" max="11778" width="4.140625" style="28" customWidth="1"/>
    <col min="11779" max="11779" width="41.5703125" style="28" customWidth="1"/>
    <col min="11780" max="11780" width="4.28515625" style="28" customWidth="1"/>
    <col min="11781" max="11781" width="13.85546875" style="28" customWidth="1"/>
    <col min="11782" max="11782" width="31" style="28" customWidth="1"/>
    <col min="11783" max="12032" width="9.140625" style="28"/>
    <col min="12033" max="12033" width="3.5703125" style="28" customWidth="1"/>
    <col min="12034" max="12034" width="4.140625" style="28" customWidth="1"/>
    <col min="12035" max="12035" width="41.5703125" style="28" customWidth="1"/>
    <col min="12036" max="12036" width="4.28515625" style="28" customWidth="1"/>
    <col min="12037" max="12037" width="13.85546875" style="28" customWidth="1"/>
    <col min="12038" max="12038" width="31" style="28" customWidth="1"/>
    <col min="12039" max="12288" width="9.140625" style="28"/>
    <col min="12289" max="12289" width="3.5703125" style="28" customWidth="1"/>
    <col min="12290" max="12290" width="4.140625" style="28" customWidth="1"/>
    <col min="12291" max="12291" width="41.5703125" style="28" customWidth="1"/>
    <col min="12292" max="12292" width="4.28515625" style="28" customWidth="1"/>
    <col min="12293" max="12293" width="13.85546875" style="28" customWidth="1"/>
    <col min="12294" max="12294" width="31" style="28" customWidth="1"/>
    <col min="12295" max="12544" width="9.140625" style="28"/>
    <col min="12545" max="12545" width="3.5703125" style="28" customWidth="1"/>
    <col min="12546" max="12546" width="4.140625" style="28" customWidth="1"/>
    <col min="12547" max="12547" width="41.5703125" style="28" customWidth="1"/>
    <col min="12548" max="12548" width="4.28515625" style="28" customWidth="1"/>
    <col min="12549" max="12549" width="13.85546875" style="28" customWidth="1"/>
    <col min="12550" max="12550" width="31" style="28" customWidth="1"/>
    <col min="12551" max="12800" width="9.140625" style="28"/>
    <col min="12801" max="12801" width="3.5703125" style="28" customWidth="1"/>
    <col min="12802" max="12802" width="4.140625" style="28" customWidth="1"/>
    <col min="12803" max="12803" width="41.5703125" style="28" customWidth="1"/>
    <col min="12804" max="12804" width="4.28515625" style="28" customWidth="1"/>
    <col min="12805" max="12805" width="13.85546875" style="28" customWidth="1"/>
    <col min="12806" max="12806" width="31" style="28" customWidth="1"/>
    <col min="12807" max="13056" width="9.140625" style="28"/>
    <col min="13057" max="13057" width="3.5703125" style="28" customWidth="1"/>
    <col min="13058" max="13058" width="4.140625" style="28" customWidth="1"/>
    <col min="13059" max="13059" width="41.5703125" style="28" customWidth="1"/>
    <col min="13060" max="13060" width="4.28515625" style="28" customWidth="1"/>
    <col min="13061" max="13061" width="13.85546875" style="28" customWidth="1"/>
    <col min="13062" max="13062" width="31" style="28" customWidth="1"/>
    <col min="13063" max="13312" width="9.140625" style="28"/>
    <col min="13313" max="13313" width="3.5703125" style="28" customWidth="1"/>
    <col min="13314" max="13314" width="4.140625" style="28" customWidth="1"/>
    <col min="13315" max="13315" width="41.5703125" style="28" customWidth="1"/>
    <col min="13316" max="13316" width="4.28515625" style="28" customWidth="1"/>
    <col min="13317" max="13317" width="13.85546875" style="28" customWidth="1"/>
    <col min="13318" max="13318" width="31" style="28" customWidth="1"/>
    <col min="13319" max="13568" width="9.140625" style="28"/>
    <col min="13569" max="13569" width="3.5703125" style="28" customWidth="1"/>
    <col min="13570" max="13570" width="4.140625" style="28" customWidth="1"/>
    <col min="13571" max="13571" width="41.5703125" style="28" customWidth="1"/>
    <col min="13572" max="13572" width="4.28515625" style="28" customWidth="1"/>
    <col min="13573" max="13573" width="13.85546875" style="28" customWidth="1"/>
    <col min="13574" max="13574" width="31" style="28" customWidth="1"/>
    <col min="13575" max="13824" width="9.140625" style="28"/>
    <col min="13825" max="13825" width="3.5703125" style="28" customWidth="1"/>
    <col min="13826" max="13826" width="4.140625" style="28" customWidth="1"/>
    <col min="13827" max="13827" width="41.5703125" style="28" customWidth="1"/>
    <col min="13828" max="13828" width="4.28515625" style="28" customWidth="1"/>
    <col min="13829" max="13829" width="13.85546875" style="28" customWidth="1"/>
    <col min="13830" max="13830" width="31" style="28" customWidth="1"/>
    <col min="13831" max="14080" width="9.140625" style="28"/>
    <col min="14081" max="14081" width="3.5703125" style="28" customWidth="1"/>
    <col min="14082" max="14082" width="4.140625" style="28" customWidth="1"/>
    <col min="14083" max="14083" width="41.5703125" style="28" customWidth="1"/>
    <col min="14084" max="14084" width="4.28515625" style="28" customWidth="1"/>
    <col min="14085" max="14085" width="13.85546875" style="28" customWidth="1"/>
    <col min="14086" max="14086" width="31" style="28" customWidth="1"/>
    <col min="14087" max="14336" width="9.140625" style="28"/>
    <col min="14337" max="14337" width="3.5703125" style="28" customWidth="1"/>
    <col min="14338" max="14338" width="4.140625" style="28" customWidth="1"/>
    <col min="14339" max="14339" width="41.5703125" style="28" customWidth="1"/>
    <col min="14340" max="14340" width="4.28515625" style="28" customWidth="1"/>
    <col min="14341" max="14341" width="13.85546875" style="28" customWidth="1"/>
    <col min="14342" max="14342" width="31" style="28" customWidth="1"/>
    <col min="14343" max="14592" width="9.140625" style="28"/>
    <col min="14593" max="14593" width="3.5703125" style="28" customWidth="1"/>
    <col min="14594" max="14594" width="4.140625" style="28" customWidth="1"/>
    <col min="14595" max="14595" width="41.5703125" style="28" customWidth="1"/>
    <col min="14596" max="14596" width="4.28515625" style="28" customWidth="1"/>
    <col min="14597" max="14597" width="13.85546875" style="28" customWidth="1"/>
    <col min="14598" max="14598" width="31" style="28" customWidth="1"/>
    <col min="14599" max="14848" width="9.140625" style="28"/>
    <col min="14849" max="14849" width="3.5703125" style="28" customWidth="1"/>
    <col min="14850" max="14850" width="4.140625" style="28" customWidth="1"/>
    <col min="14851" max="14851" width="41.5703125" style="28" customWidth="1"/>
    <col min="14852" max="14852" width="4.28515625" style="28" customWidth="1"/>
    <col min="14853" max="14853" width="13.85546875" style="28" customWidth="1"/>
    <col min="14854" max="14854" width="31" style="28" customWidth="1"/>
    <col min="14855" max="15104" width="9.140625" style="28"/>
    <col min="15105" max="15105" width="3.5703125" style="28" customWidth="1"/>
    <col min="15106" max="15106" width="4.140625" style="28" customWidth="1"/>
    <col min="15107" max="15107" width="41.5703125" style="28" customWidth="1"/>
    <col min="15108" max="15108" width="4.28515625" style="28" customWidth="1"/>
    <col min="15109" max="15109" width="13.85546875" style="28" customWidth="1"/>
    <col min="15110" max="15110" width="31" style="28" customWidth="1"/>
    <col min="15111" max="15360" width="9.140625" style="28"/>
    <col min="15361" max="15361" width="3.5703125" style="28" customWidth="1"/>
    <col min="15362" max="15362" width="4.140625" style="28" customWidth="1"/>
    <col min="15363" max="15363" width="41.5703125" style="28" customWidth="1"/>
    <col min="15364" max="15364" width="4.28515625" style="28" customWidth="1"/>
    <col min="15365" max="15365" width="13.85546875" style="28" customWidth="1"/>
    <col min="15366" max="15366" width="31" style="28" customWidth="1"/>
    <col min="15367" max="15616" width="9.140625" style="28"/>
    <col min="15617" max="15617" width="3.5703125" style="28" customWidth="1"/>
    <col min="15618" max="15618" width="4.140625" style="28" customWidth="1"/>
    <col min="15619" max="15619" width="41.5703125" style="28" customWidth="1"/>
    <col min="15620" max="15620" width="4.28515625" style="28" customWidth="1"/>
    <col min="15621" max="15621" width="13.85546875" style="28" customWidth="1"/>
    <col min="15622" max="15622" width="31" style="28" customWidth="1"/>
    <col min="15623" max="15872" width="9.140625" style="28"/>
    <col min="15873" max="15873" width="3.5703125" style="28" customWidth="1"/>
    <col min="15874" max="15874" width="4.140625" style="28" customWidth="1"/>
    <col min="15875" max="15875" width="41.5703125" style="28" customWidth="1"/>
    <col min="15876" max="15876" width="4.28515625" style="28" customWidth="1"/>
    <col min="15877" max="15877" width="13.85546875" style="28" customWidth="1"/>
    <col min="15878" max="15878" width="31" style="28" customWidth="1"/>
    <col min="15879" max="16128" width="9.140625" style="28"/>
    <col min="16129" max="16129" width="3.5703125" style="28" customWidth="1"/>
    <col min="16130" max="16130" width="4.140625" style="28" customWidth="1"/>
    <col min="16131" max="16131" width="41.5703125" style="28" customWidth="1"/>
    <col min="16132" max="16132" width="4.28515625" style="28" customWidth="1"/>
    <col min="16133" max="16133" width="13.85546875" style="28" customWidth="1"/>
    <col min="16134" max="16134" width="31" style="28" customWidth="1"/>
    <col min="16135" max="16384" width="9.140625" style="28"/>
  </cols>
  <sheetData>
    <row r="1" spans="1:12" ht="19.5" customHeight="1" x14ac:dyDescent="0.4">
      <c r="A1" s="259" t="s">
        <v>0</v>
      </c>
      <c r="B1" s="259"/>
      <c r="C1" s="259"/>
      <c r="D1" s="259"/>
      <c r="E1" s="259"/>
      <c r="F1" s="259"/>
    </row>
    <row r="2" spans="1:12" ht="15.75" customHeight="1" x14ac:dyDescent="0.3">
      <c r="A2" s="29"/>
      <c r="B2" s="29"/>
    </row>
    <row r="3" spans="1:12" ht="15.75" customHeight="1" thickBot="1" x14ac:dyDescent="0.35">
      <c r="A3" s="30"/>
      <c r="B3" s="30"/>
      <c r="C3" s="31"/>
      <c r="D3" s="31"/>
      <c r="E3" s="31"/>
      <c r="F3" s="31"/>
    </row>
    <row r="4" spans="1:12" ht="15.75" customHeight="1" thickTop="1" x14ac:dyDescent="0.3">
      <c r="A4" s="32"/>
      <c r="B4" s="33"/>
      <c r="C4" s="34"/>
      <c r="E4" s="35"/>
      <c r="F4" s="34"/>
      <c r="H4" s="28" t="s">
        <v>2</v>
      </c>
    </row>
    <row r="5" spans="1:12" ht="15.75" customHeight="1" x14ac:dyDescent="0.3">
      <c r="A5" s="45">
        <v>1</v>
      </c>
      <c r="B5" s="24" t="s">
        <v>1</v>
      </c>
      <c r="C5" s="36"/>
      <c r="D5" s="27" t="s">
        <v>2</v>
      </c>
      <c r="E5" s="27" t="str">
        <f>'Rincian Biaya Perjadin'!G50</f>
        <v>Dodi Oktavianto, S.E.</v>
      </c>
      <c r="F5" s="24"/>
    </row>
    <row r="6" spans="1:12" ht="15.75" customHeight="1" x14ac:dyDescent="0.3">
      <c r="A6" s="46"/>
      <c r="B6" s="47"/>
      <c r="C6" s="26"/>
      <c r="D6" s="25"/>
      <c r="E6" s="25"/>
      <c r="F6" s="26"/>
    </row>
    <row r="7" spans="1:12" ht="15.75" customHeight="1" x14ac:dyDescent="0.3">
      <c r="A7" s="45"/>
      <c r="B7" s="48"/>
      <c r="C7" s="24"/>
      <c r="D7" s="27"/>
      <c r="E7" s="27"/>
      <c r="F7" s="24"/>
    </row>
    <row r="8" spans="1:12" ht="15.75" customHeight="1" x14ac:dyDescent="0.3">
      <c r="A8" s="45">
        <v>2</v>
      </c>
      <c r="B8" s="24" t="s">
        <v>3</v>
      </c>
      <c r="C8" s="36"/>
      <c r="D8" s="27" t="s">
        <v>2</v>
      </c>
      <c r="E8" s="27" t="s">
        <v>158</v>
      </c>
      <c r="F8" s="24"/>
    </row>
    <row r="9" spans="1:12" ht="15.75" customHeight="1" x14ac:dyDescent="0.3">
      <c r="A9" s="45"/>
      <c r="B9" s="27" t="s">
        <v>4</v>
      </c>
      <c r="C9" s="37"/>
      <c r="D9" s="27"/>
      <c r="E9" s="65" t="str">
        <f>'Nominatif Format Baru'!C11</f>
        <v>196702021994031004</v>
      </c>
      <c r="F9" s="24"/>
    </row>
    <row r="10" spans="1:12" ht="15.75" customHeight="1" x14ac:dyDescent="0.3">
      <c r="A10" s="46"/>
      <c r="B10" s="47"/>
      <c r="C10" s="26"/>
      <c r="D10" s="25"/>
      <c r="E10" s="25"/>
      <c r="F10" s="24"/>
    </row>
    <row r="11" spans="1:12" ht="15.75" customHeight="1" x14ac:dyDescent="0.3">
      <c r="A11" s="45"/>
      <c r="B11" s="48"/>
      <c r="C11" s="24"/>
      <c r="D11" s="27"/>
      <c r="E11" s="49"/>
      <c r="F11" s="50"/>
    </row>
    <row r="12" spans="1:12" ht="15.75" customHeight="1" x14ac:dyDescent="0.3">
      <c r="A12" s="45">
        <v>3</v>
      </c>
      <c r="B12" s="48" t="s">
        <v>6</v>
      </c>
      <c r="C12" s="24" t="s">
        <v>7</v>
      </c>
      <c r="D12" s="48" t="s">
        <v>6</v>
      </c>
      <c r="E12" s="51" t="str">
        <f>'Nominatif Format Baru'!D11</f>
        <v>Pembina Utama Muda/IV/c</v>
      </c>
      <c r="F12" s="24"/>
    </row>
    <row r="13" spans="1:12" ht="31.5" customHeight="1" x14ac:dyDescent="0.2">
      <c r="A13" s="45"/>
      <c r="B13" s="52" t="s">
        <v>8</v>
      </c>
      <c r="C13" s="53" t="s">
        <v>9</v>
      </c>
      <c r="D13" s="52" t="s">
        <v>8</v>
      </c>
      <c r="E13" s="260" t="s">
        <v>175</v>
      </c>
      <c r="F13" s="261"/>
      <c r="L13" s="28" t="s">
        <v>2</v>
      </c>
    </row>
    <row r="14" spans="1:12" ht="15.75" customHeight="1" x14ac:dyDescent="0.3">
      <c r="A14" s="45"/>
      <c r="B14" s="48" t="s">
        <v>10</v>
      </c>
      <c r="C14" s="24" t="s">
        <v>11</v>
      </c>
      <c r="D14" s="48" t="s">
        <v>10</v>
      </c>
      <c r="E14" s="51" t="s">
        <v>151</v>
      </c>
      <c r="F14" s="24"/>
      <c r="I14" s="28" t="s">
        <v>2</v>
      </c>
      <c r="J14" s="28" t="s">
        <v>2</v>
      </c>
    </row>
    <row r="15" spans="1:12" ht="15.75" customHeight="1" x14ac:dyDescent="0.3">
      <c r="A15" s="46"/>
      <c r="B15" s="47"/>
      <c r="C15" s="26"/>
      <c r="D15" s="25"/>
      <c r="E15" s="25"/>
      <c r="F15" s="26"/>
    </row>
    <row r="16" spans="1:12" ht="15.75" customHeight="1" x14ac:dyDescent="0.3">
      <c r="A16" s="45"/>
      <c r="B16" s="48"/>
      <c r="C16" s="24"/>
      <c r="D16" s="27"/>
      <c r="E16" s="27"/>
      <c r="F16" s="24"/>
      <c r="K16" s="28" t="s">
        <v>2</v>
      </c>
    </row>
    <row r="17" spans="1:19" ht="64.5" customHeight="1" x14ac:dyDescent="0.2">
      <c r="A17" s="54">
        <v>4</v>
      </c>
      <c r="B17" s="53" t="s">
        <v>12</v>
      </c>
      <c r="C17" s="37"/>
      <c r="D17" s="55"/>
      <c r="E17" s="262" t="s">
        <v>176</v>
      </c>
      <c r="F17" s="263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</row>
    <row r="18" spans="1:19" ht="15.75" customHeight="1" x14ac:dyDescent="0.3">
      <c r="A18" s="46"/>
      <c r="B18" s="47"/>
      <c r="C18" s="26"/>
      <c r="D18" s="25"/>
      <c r="E18" s="1"/>
      <c r="F18" s="56" t="s">
        <v>13</v>
      </c>
    </row>
    <row r="19" spans="1:19" ht="15.75" customHeight="1" x14ac:dyDescent="0.3">
      <c r="A19" s="45"/>
      <c r="B19" s="48"/>
      <c r="C19" s="24"/>
      <c r="D19" s="27"/>
      <c r="E19" s="27"/>
      <c r="F19" s="24"/>
    </row>
    <row r="20" spans="1:19" ht="15.75" customHeight="1" x14ac:dyDescent="0.3">
      <c r="A20" s="45">
        <v>5</v>
      </c>
      <c r="B20" s="49" t="s">
        <v>14</v>
      </c>
      <c r="C20" s="37"/>
      <c r="D20" s="27"/>
      <c r="E20" s="27" t="s">
        <v>155</v>
      </c>
      <c r="F20" s="24"/>
      <c r="I20" s="28" t="s">
        <v>5</v>
      </c>
    </row>
    <row r="21" spans="1:19" ht="15.75" customHeight="1" x14ac:dyDescent="0.2">
      <c r="A21" s="46"/>
      <c r="B21" s="47"/>
      <c r="C21" s="26"/>
      <c r="D21" s="25"/>
      <c r="E21" s="25"/>
      <c r="F21" s="26"/>
    </row>
    <row r="22" spans="1:19" ht="15.75" customHeight="1" x14ac:dyDescent="0.2">
      <c r="A22" s="45"/>
      <c r="B22" s="48"/>
      <c r="C22" s="24"/>
      <c r="D22" s="27"/>
      <c r="E22" s="27"/>
      <c r="F22" s="24"/>
    </row>
    <row r="23" spans="1:19" ht="15.75" customHeight="1" x14ac:dyDescent="0.2">
      <c r="A23" s="45">
        <v>6</v>
      </c>
      <c r="B23" s="48" t="s">
        <v>6</v>
      </c>
      <c r="C23" s="24" t="s">
        <v>15</v>
      </c>
      <c r="D23" s="48" t="s">
        <v>6</v>
      </c>
      <c r="E23" s="49" t="s">
        <v>16</v>
      </c>
      <c r="F23" s="24"/>
    </row>
    <row r="24" spans="1:19" ht="15.75" customHeight="1" x14ac:dyDescent="0.2">
      <c r="A24" s="45"/>
      <c r="B24" s="48" t="s">
        <v>8</v>
      </c>
      <c r="C24" s="24" t="s">
        <v>17</v>
      </c>
      <c r="D24" s="48" t="s">
        <v>8</v>
      </c>
      <c r="E24" s="49" t="s">
        <v>161</v>
      </c>
      <c r="F24" s="24"/>
    </row>
    <row r="25" spans="1:19" ht="15.75" customHeight="1" x14ac:dyDescent="0.2">
      <c r="A25" s="46"/>
      <c r="B25" s="47"/>
      <c r="C25" s="26"/>
      <c r="D25" s="25"/>
      <c r="E25" s="25"/>
      <c r="F25" s="26"/>
    </row>
    <row r="26" spans="1:19" ht="15.75" customHeight="1" x14ac:dyDescent="0.2">
      <c r="A26" s="45"/>
      <c r="B26" s="48"/>
      <c r="C26" s="24"/>
      <c r="D26" s="27"/>
      <c r="E26" s="27"/>
      <c r="F26" s="24"/>
    </row>
    <row r="27" spans="1:19" ht="15.75" customHeight="1" x14ac:dyDescent="0.2">
      <c r="A27" s="45">
        <v>7</v>
      </c>
      <c r="B27" s="48" t="s">
        <v>6</v>
      </c>
      <c r="C27" s="24" t="s">
        <v>18</v>
      </c>
      <c r="D27" s="49"/>
      <c r="E27" s="49" t="s">
        <v>177</v>
      </c>
      <c r="F27" s="57"/>
    </row>
    <row r="28" spans="1:19" ht="15.75" customHeight="1" x14ac:dyDescent="0.2">
      <c r="A28" s="45"/>
      <c r="B28" s="48" t="s">
        <v>8</v>
      </c>
      <c r="C28" s="24" t="s">
        <v>19</v>
      </c>
      <c r="D28" s="49"/>
      <c r="E28" s="44" t="s">
        <v>178</v>
      </c>
      <c r="F28" s="24"/>
    </row>
    <row r="29" spans="1:19" ht="15.75" customHeight="1" x14ac:dyDescent="0.2">
      <c r="A29" s="45"/>
      <c r="B29" s="48" t="s">
        <v>20</v>
      </c>
      <c r="C29" s="24" t="s">
        <v>21</v>
      </c>
      <c r="D29" s="49"/>
      <c r="E29" s="44" t="s">
        <v>179</v>
      </c>
      <c r="F29" s="24"/>
    </row>
    <row r="30" spans="1:19" ht="15.75" customHeight="1" x14ac:dyDescent="0.2">
      <c r="A30" s="46"/>
      <c r="B30" s="47"/>
      <c r="C30" s="26"/>
      <c r="D30" s="25"/>
      <c r="E30" s="25"/>
      <c r="F30" s="26"/>
    </row>
    <row r="31" spans="1:19" ht="15.75" customHeight="1" x14ac:dyDescent="0.2">
      <c r="A31" s="45"/>
      <c r="B31" s="48"/>
      <c r="C31" s="24"/>
      <c r="D31" s="27"/>
      <c r="E31" s="27"/>
      <c r="F31" s="24"/>
    </row>
    <row r="32" spans="1:19" ht="15.75" customHeight="1" x14ac:dyDescent="0.2">
      <c r="A32" s="45">
        <v>8</v>
      </c>
      <c r="B32" s="49" t="s">
        <v>22</v>
      </c>
      <c r="C32" s="24"/>
      <c r="D32" s="27"/>
      <c r="E32" s="27"/>
      <c r="F32" s="24"/>
    </row>
    <row r="33" spans="1:10" ht="15.75" customHeight="1" x14ac:dyDescent="0.2">
      <c r="A33" s="45"/>
      <c r="B33" s="48" t="s">
        <v>23</v>
      </c>
      <c r="C33" s="24"/>
      <c r="D33" s="27"/>
      <c r="E33" s="27"/>
      <c r="F33" s="24"/>
    </row>
    <row r="34" spans="1:10" ht="15.75" customHeight="1" x14ac:dyDescent="0.2">
      <c r="A34" s="45"/>
      <c r="B34" s="48" t="s">
        <v>24</v>
      </c>
      <c r="C34" s="24"/>
      <c r="D34" s="27"/>
      <c r="E34" s="27"/>
      <c r="F34" s="24"/>
    </row>
    <row r="35" spans="1:10" ht="15.75" customHeight="1" x14ac:dyDescent="0.2">
      <c r="A35" s="46"/>
      <c r="B35" s="47"/>
      <c r="C35" s="26"/>
      <c r="D35" s="25"/>
      <c r="E35" s="25"/>
      <c r="F35" s="26"/>
    </row>
    <row r="36" spans="1:10" ht="15.75" customHeight="1" x14ac:dyDescent="0.2">
      <c r="A36" s="45"/>
      <c r="B36" s="48"/>
      <c r="C36" s="24"/>
      <c r="D36" s="27"/>
      <c r="E36" s="27"/>
      <c r="F36" s="24"/>
    </row>
    <row r="37" spans="1:10" ht="15.75" customHeight="1" x14ac:dyDescent="0.2">
      <c r="A37" s="45">
        <v>9</v>
      </c>
      <c r="B37" s="49" t="s">
        <v>25</v>
      </c>
      <c r="C37" s="24"/>
      <c r="D37" s="27"/>
      <c r="E37" s="27"/>
      <c r="F37" s="24"/>
    </row>
    <row r="38" spans="1:10" ht="15.75" customHeight="1" x14ac:dyDescent="0.2">
      <c r="A38" s="45"/>
      <c r="B38" s="48" t="s">
        <v>6</v>
      </c>
      <c r="C38" s="24" t="s">
        <v>26</v>
      </c>
      <c r="D38" s="27"/>
      <c r="E38" s="27" t="s">
        <v>27</v>
      </c>
      <c r="F38" s="24"/>
    </row>
    <row r="39" spans="1:10" ht="15.75" customHeight="1" x14ac:dyDescent="0.2">
      <c r="A39" s="45"/>
      <c r="B39" s="48" t="s">
        <v>8</v>
      </c>
      <c r="C39" s="24" t="s">
        <v>28</v>
      </c>
      <c r="D39" s="27"/>
      <c r="E39" s="27"/>
      <c r="F39" s="24"/>
    </row>
    <row r="40" spans="1:10" ht="15.75" customHeight="1" x14ac:dyDescent="0.2">
      <c r="A40" s="46"/>
      <c r="B40" s="47"/>
      <c r="C40" s="26"/>
      <c r="D40" s="25"/>
      <c r="E40" s="25"/>
      <c r="F40" s="26"/>
    </row>
    <row r="41" spans="1:10" ht="15.75" customHeight="1" x14ac:dyDescent="0.2">
      <c r="A41" s="45"/>
      <c r="B41" s="48"/>
      <c r="C41" s="24"/>
      <c r="D41" s="27"/>
      <c r="E41" s="27"/>
      <c r="F41" s="24"/>
    </row>
    <row r="42" spans="1:10" ht="15.75" customHeight="1" x14ac:dyDescent="0.2">
      <c r="A42" s="45">
        <v>10</v>
      </c>
      <c r="B42" s="49" t="s">
        <v>29</v>
      </c>
      <c r="C42" s="24"/>
      <c r="D42" s="27"/>
      <c r="E42" s="27"/>
      <c r="F42" s="24"/>
    </row>
    <row r="43" spans="1:10" ht="15.75" customHeight="1" thickBot="1" x14ac:dyDescent="0.25">
      <c r="A43" s="58"/>
      <c r="B43" s="59"/>
      <c r="C43" s="60"/>
      <c r="D43" s="61"/>
      <c r="E43" s="61"/>
      <c r="F43" s="60"/>
      <c r="J43" s="28" t="s">
        <v>2</v>
      </c>
    </row>
    <row r="44" spans="1:10" ht="12.75" customHeight="1" x14ac:dyDescent="0.2">
      <c r="A44" s="38"/>
      <c r="B44" s="38"/>
      <c r="D44" s="39"/>
    </row>
    <row r="45" spans="1:10" ht="12.75" customHeight="1" x14ac:dyDescent="0.25">
      <c r="A45" s="29"/>
      <c r="B45" s="62" t="s">
        <v>30</v>
      </c>
      <c r="D45" s="63" t="s">
        <v>31</v>
      </c>
      <c r="E45" s="63"/>
      <c r="F45" s="63" t="s">
        <v>32</v>
      </c>
    </row>
    <row r="46" spans="1:10" ht="16.5" customHeight="1" x14ac:dyDescent="0.2">
      <c r="A46" s="40"/>
      <c r="B46" s="40"/>
      <c r="C46" s="41"/>
      <c r="D46" s="258" t="s">
        <v>33</v>
      </c>
      <c r="E46" s="258"/>
      <c r="F46" s="64" t="s">
        <v>220</v>
      </c>
      <c r="G46" s="42"/>
    </row>
    <row r="47" spans="1:10" ht="12.75" customHeight="1" x14ac:dyDescent="0.2">
      <c r="A47" s="29"/>
      <c r="B47" s="29"/>
    </row>
    <row r="48" spans="1:10" ht="13.5" customHeight="1" x14ac:dyDescent="0.25">
      <c r="A48" s="29"/>
      <c r="B48" s="29"/>
      <c r="D48" s="63" t="s">
        <v>34</v>
      </c>
    </row>
    <row r="49" spans="1:10" ht="15.75" customHeight="1" x14ac:dyDescent="0.2"/>
    <row r="50" spans="1:10" ht="15.75" customHeight="1" x14ac:dyDescent="0.2">
      <c r="A50" s="29"/>
      <c r="B50" s="29"/>
    </row>
    <row r="51" spans="1:10" ht="15.75" customHeight="1" x14ac:dyDescent="0.2">
      <c r="A51" s="29"/>
      <c r="B51" s="29"/>
    </row>
    <row r="52" spans="1:10" ht="15.75" customHeight="1" x14ac:dyDescent="0.2">
      <c r="A52" s="29"/>
      <c r="B52" s="29"/>
    </row>
    <row r="53" spans="1:10" ht="14.25" customHeight="1" x14ac:dyDescent="0.25">
      <c r="A53" s="29"/>
      <c r="B53" s="29"/>
      <c r="D53" s="63" t="str">
        <f>'Rincian Biaya Perjadin'!G50</f>
        <v>Dodi Oktavianto, S.E.</v>
      </c>
    </row>
    <row r="54" spans="1:10" ht="13.5" customHeight="1" x14ac:dyDescent="0.25">
      <c r="A54" s="29"/>
      <c r="B54" s="29"/>
      <c r="D54" s="63" t="s">
        <v>64</v>
      </c>
      <c r="E54" s="66"/>
    </row>
    <row r="55" spans="1:10" ht="15.75" customHeight="1" x14ac:dyDescent="0.2">
      <c r="A55" s="29"/>
      <c r="B55" s="29"/>
    </row>
    <row r="56" spans="1:10" ht="15.75" customHeight="1" x14ac:dyDescent="0.2">
      <c r="A56" s="29"/>
      <c r="B56" s="29"/>
    </row>
    <row r="57" spans="1:10" ht="15.75" customHeight="1" x14ac:dyDescent="0.2">
      <c r="A57" s="29"/>
      <c r="B57" s="29"/>
    </row>
    <row r="58" spans="1:10" ht="15.75" customHeight="1" x14ac:dyDescent="0.2">
      <c r="A58" s="40"/>
      <c r="B58" s="40"/>
      <c r="C58" s="41"/>
      <c r="D58" s="41"/>
      <c r="E58" s="41"/>
      <c r="F58" s="41"/>
      <c r="G58" s="41"/>
    </row>
    <row r="59" spans="1:10" ht="15.75" customHeight="1" x14ac:dyDescent="0.25">
      <c r="A59" s="259" t="s">
        <v>0</v>
      </c>
      <c r="B59" s="259"/>
      <c r="C59" s="259"/>
      <c r="D59" s="259"/>
      <c r="E59" s="259"/>
      <c r="F59" s="259"/>
    </row>
    <row r="60" spans="1:10" ht="15.75" customHeight="1" x14ac:dyDescent="0.2">
      <c r="A60" s="29"/>
      <c r="B60" s="29"/>
    </row>
    <row r="61" spans="1:10" ht="15.75" customHeight="1" thickBot="1" x14ac:dyDescent="0.25">
      <c r="A61" s="30"/>
      <c r="B61" s="30"/>
      <c r="C61" s="31"/>
      <c r="D61" s="31"/>
      <c r="E61" s="31"/>
      <c r="F61" s="31"/>
    </row>
    <row r="62" spans="1:10" ht="15.75" customHeight="1" thickTop="1" x14ac:dyDescent="0.2">
      <c r="A62" s="32"/>
      <c r="B62" s="33"/>
      <c r="C62" s="34"/>
      <c r="E62" s="35"/>
      <c r="F62" s="34"/>
      <c r="J62" s="28" t="s">
        <v>2</v>
      </c>
    </row>
    <row r="63" spans="1:10" ht="15.75" customHeight="1" x14ac:dyDescent="0.2">
      <c r="A63" s="45">
        <v>1</v>
      </c>
      <c r="B63" s="24" t="s">
        <v>1</v>
      </c>
      <c r="C63" s="36"/>
      <c r="D63" s="27" t="s">
        <v>2</v>
      </c>
      <c r="E63" s="27" t="str">
        <f>E5</f>
        <v>Dodi Oktavianto, S.E.</v>
      </c>
      <c r="F63" s="24"/>
    </row>
    <row r="64" spans="1:10" ht="15.75" customHeight="1" x14ac:dyDescent="0.2">
      <c r="A64" s="46"/>
      <c r="B64" s="47"/>
      <c r="C64" s="26"/>
      <c r="D64" s="25"/>
      <c r="E64" s="25"/>
      <c r="F64" s="26"/>
    </row>
    <row r="65" spans="1:6" ht="15.75" customHeight="1" x14ac:dyDescent="0.2">
      <c r="A65" s="45"/>
      <c r="B65" s="48"/>
      <c r="C65" s="24"/>
      <c r="D65" s="27"/>
      <c r="E65" s="27"/>
      <c r="F65" s="24"/>
    </row>
    <row r="66" spans="1:6" ht="15.75" customHeight="1" x14ac:dyDescent="0.2">
      <c r="A66" s="45">
        <v>2</v>
      </c>
      <c r="B66" s="24" t="s">
        <v>3</v>
      </c>
      <c r="C66" s="36"/>
      <c r="D66" s="27" t="s">
        <v>2</v>
      </c>
      <c r="E66" s="43" t="s">
        <v>180</v>
      </c>
      <c r="F66" s="24"/>
    </row>
    <row r="67" spans="1:6" ht="15.75" customHeight="1" x14ac:dyDescent="0.2">
      <c r="A67" s="45"/>
      <c r="B67" s="27" t="s">
        <v>4</v>
      </c>
      <c r="C67" s="37"/>
      <c r="D67" s="27"/>
      <c r="E67" s="65" t="str">
        <f>'Nominatif Format Baru'!C12</f>
        <v>197410221998022001</v>
      </c>
      <c r="F67" s="24"/>
    </row>
    <row r="68" spans="1:6" ht="15.75" customHeight="1" x14ac:dyDescent="0.2">
      <c r="A68" s="46"/>
      <c r="B68" s="47"/>
      <c r="C68" s="26"/>
      <c r="D68" s="25"/>
      <c r="E68" s="25"/>
      <c r="F68" s="24"/>
    </row>
    <row r="69" spans="1:6" ht="15.75" customHeight="1" x14ac:dyDescent="0.2">
      <c r="A69" s="45"/>
      <c r="B69" s="48"/>
      <c r="C69" s="24"/>
      <c r="D69" s="27"/>
      <c r="E69" s="49"/>
      <c r="F69" s="50"/>
    </row>
    <row r="70" spans="1:6" ht="18" customHeight="1" x14ac:dyDescent="0.2">
      <c r="A70" s="45">
        <v>3</v>
      </c>
      <c r="B70" s="48" t="s">
        <v>6</v>
      </c>
      <c r="C70" s="24" t="s">
        <v>7</v>
      </c>
      <c r="D70" s="48" t="s">
        <v>6</v>
      </c>
      <c r="E70" s="51" t="str">
        <f>'Nominatif Format Baru'!D12</f>
        <v>Pembina Tk. I/IV/b</v>
      </c>
      <c r="F70" s="24"/>
    </row>
    <row r="71" spans="1:6" ht="32.25" customHeight="1" x14ac:dyDescent="0.2">
      <c r="A71" s="45"/>
      <c r="B71" s="52" t="s">
        <v>8</v>
      </c>
      <c r="C71" s="53" t="s">
        <v>9</v>
      </c>
      <c r="D71" s="52" t="s">
        <v>8</v>
      </c>
      <c r="E71" s="260" t="s">
        <v>181</v>
      </c>
      <c r="F71" s="261"/>
    </row>
    <row r="72" spans="1:6" ht="15.75" customHeight="1" x14ac:dyDescent="0.2">
      <c r="A72" s="45"/>
      <c r="B72" s="48" t="s">
        <v>10</v>
      </c>
      <c r="C72" s="24" t="s">
        <v>11</v>
      </c>
      <c r="D72" s="48" t="s">
        <v>10</v>
      </c>
      <c r="E72" s="51" t="s">
        <v>151</v>
      </c>
      <c r="F72" s="24"/>
    </row>
    <row r="73" spans="1:6" ht="15.75" customHeight="1" x14ac:dyDescent="0.2">
      <c r="A73" s="46"/>
      <c r="B73" s="47"/>
      <c r="C73" s="26"/>
      <c r="D73" s="25"/>
      <c r="E73" s="25"/>
      <c r="F73" s="26"/>
    </row>
    <row r="74" spans="1:6" ht="15.75" customHeight="1" x14ac:dyDescent="0.2">
      <c r="A74" s="45"/>
      <c r="B74" s="48"/>
      <c r="C74" s="24"/>
      <c r="D74" s="27"/>
      <c r="E74" s="27"/>
      <c r="F74" s="24"/>
    </row>
    <row r="75" spans="1:6" ht="64.5" customHeight="1" x14ac:dyDescent="0.2">
      <c r="A75" s="54">
        <v>4</v>
      </c>
      <c r="B75" s="53" t="s">
        <v>12</v>
      </c>
      <c r="C75" s="37"/>
      <c r="D75" s="55"/>
      <c r="E75" s="262" t="str">
        <f>E17</f>
        <v>Mengikuti kegiatan Indonesia-Swiss Partnership to Advance Indonesia's Renewable Energy Workforce: Launch of Renewable Energy Skills Development (RESD) Phase 2</v>
      </c>
      <c r="F75" s="263"/>
    </row>
    <row r="76" spans="1:6" ht="15.75" customHeight="1" x14ac:dyDescent="0.2">
      <c r="A76" s="46"/>
      <c r="B76" s="47"/>
      <c r="C76" s="26"/>
      <c r="D76" s="25"/>
      <c r="E76" s="1"/>
      <c r="F76" s="56" t="s">
        <v>13</v>
      </c>
    </row>
    <row r="77" spans="1:6" ht="15.75" customHeight="1" x14ac:dyDescent="0.2">
      <c r="A77" s="45"/>
      <c r="B77" s="48"/>
      <c r="C77" s="24"/>
      <c r="D77" s="27"/>
      <c r="E77" s="27"/>
      <c r="F77" s="24"/>
    </row>
    <row r="78" spans="1:6" ht="15.75" customHeight="1" x14ac:dyDescent="0.2">
      <c r="A78" s="45">
        <v>5</v>
      </c>
      <c r="B78" s="49" t="s">
        <v>14</v>
      </c>
      <c r="C78" s="37"/>
      <c r="D78" s="27"/>
      <c r="E78" s="27" t="s">
        <v>155</v>
      </c>
      <c r="F78" s="24"/>
    </row>
    <row r="79" spans="1:6" ht="15.75" customHeight="1" x14ac:dyDescent="0.2">
      <c r="A79" s="46"/>
      <c r="B79" s="47"/>
      <c r="C79" s="26"/>
      <c r="D79" s="25"/>
      <c r="E79" s="25"/>
      <c r="F79" s="26"/>
    </row>
    <row r="80" spans="1:6" ht="15.75" customHeight="1" x14ac:dyDescent="0.2">
      <c r="A80" s="45"/>
      <c r="B80" s="48"/>
      <c r="C80" s="24"/>
      <c r="D80" s="27"/>
      <c r="E80" s="27"/>
      <c r="F80" s="24"/>
    </row>
    <row r="81" spans="1:6" ht="15.75" customHeight="1" x14ac:dyDescent="0.2">
      <c r="A81" s="45">
        <v>6</v>
      </c>
      <c r="B81" s="48" t="s">
        <v>6</v>
      </c>
      <c r="C81" s="24" t="s">
        <v>15</v>
      </c>
      <c r="D81" s="48" t="s">
        <v>6</v>
      </c>
      <c r="E81" s="49" t="s">
        <v>16</v>
      </c>
      <c r="F81" s="24"/>
    </row>
    <row r="82" spans="1:6" ht="15.75" customHeight="1" x14ac:dyDescent="0.2">
      <c r="A82" s="45"/>
      <c r="B82" s="48" t="s">
        <v>8</v>
      </c>
      <c r="C82" s="24" t="s">
        <v>17</v>
      </c>
      <c r="D82" s="48" t="s">
        <v>8</v>
      </c>
      <c r="E82" s="49" t="str">
        <f>E24</f>
        <v>Jakarta</v>
      </c>
      <c r="F82" s="24"/>
    </row>
    <row r="83" spans="1:6" ht="15.75" customHeight="1" x14ac:dyDescent="0.2">
      <c r="A83" s="46"/>
      <c r="B83" s="47"/>
      <c r="C83" s="26"/>
      <c r="D83" s="25"/>
      <c r="E83" s="25"/>
      <c r="F83" s="26"/>
    </row>
    <row r="84" spans="1:6" ht="15.75" customHeight="1" x14ac:dyDescent="0.2">
      <c r="A84" s="45"/>
      <c r="B84" s="48"/>
      <c r="C84" s="24"/>
      <c r="D84" s="27"/>
      <c r="E84" s="27"/>
      <c r="F84" s="24"/>
    </row>
    <row r="85" spans="1:6" ht="15.75" customHeight="1" x14ac:dyDescent="0.2">
      <c r="A85" s="45">
        <v>7</v>
      </c>
      <c r="B85" s="48" t="s">
        <v>6</v>
      </c>
      <c r="C85" s="24" t="s">
        <v>18</v>
      </c>
      <c r="D85" s="49"/>
      <c r="E85" s="49" t="str">
        <f>E27</f>
        <v>2 (Dua) Hari</v>
      </c>
      <c r="F85" s="57"/>
    </row>
    <row r="86" spans="1:6" ht="15.75" customHeight="1" x14ac:dyDescent="0.2">
      <c r="A86" s="45"/>
      <c r="B86" s="48" t="s">
        <v>8</v>
      </c>
      <c r="C86" s="24" t="s">
        <v>19</v>
      </c>
      <c r="D86" s="49"/>
      <c r="E86" s="44" t="s">
        <v>178</v>
      </c>
      <c r="F86" s="24"/>
    </row>
    <row r="87" spans="1:6" ht="15.75" customHeight="1" x14ac:dyDescent="0.2">
      <c r="A87" s="45"/>
      <c r="B87" s="48" t="s">
        <v>20</v>
      </c>
      <c r="C87" s="24" t="s">
        <v>21</v>
      </c>
      <c r="D87" s="49"/>
      <c r="E87" s="44" t="s">
        <v>179</v>
      </c>
      <c r="F87" s="24"/>
    </row>
    <row r="88" spans="1:6" ht="15.75" customHeight="1" x14ac:dyDescent="0.2">
      <c r="A88" s="46"/>
      <c r="B88" s="47"/>
      <c r="C88" s="26"/>
      <c r="D88" s="25"/>
      <c r="E88" s="25"/>
      <c r="F88" s="26"/>
    </row>
    <row r="89" spans="1:6" ht="15.75" customHeight="1" x14ac:dyDescent="0.2">
      <c r="A89" s="45"/>
      <c r="B89" s="48"/>
      <c r="C89" s="24"/>
      <c r="D89" s="27"/>
      <c r="E89" s="27"/>
      <c r="F89" s="24"/>
    </row>
    <row r="90" spans="1:6" ht="15.75" customHeight="1" x14ac:dyDescent="0.2">
      <c r="A90" s="45">
        <v>8</v>
      </c>
      <c r="B90" s="49" t="s">
        <v>22</v>
      </c>
      <c r="C90" s="24"/>
      <c r="D90" s="27"/>
      <c r="E90" s="27"/>
      <c r="F90" s="24"/>
    </row>
    <row r="91" spans="1:6" ht="15.75" customHeight="1" x14ac:dyDescent="0.2">
      <c r="A91" s="45"/>
      <c r="B91" s="48" t="s">
        <v>23</v>
      </c>
      <c r="C91" s="24"/>
      <c r="D91" s="27"/>
      <c r="E91" s="27"/>
      <c r="F91" s="24"/>
    </row>
    <row r="92" spans="1:6" ht="15.75" customHeight="1" x14ac:dyDescent="0.2">
      <c r="A92" s="45"/>
      <c r="B92" s="48" t="s">
        <v>24</v>
      </c>
      <c r="C92" s="24"/>
      <c r="D92" s="27"/>
      <c r="E92" s="27"/>
      <c r="F92" s="24"/>
    </row>
    <row r="93" spans="1:6" ht="15.75" customHeight="1" x14ac:dyDescent="0.2">
      <c r="A93" s="46"/>
      <c r="B93" s="47"/>
      <c r="C93" s="26"/>
      <c r="D93" s="25"/>
      <c r="E93" s="25"/>
      <c r="F93" s="26"/>
    </row>
    <row r="94" spans="1:6" ht="15.75" customHeight="1" x14ac:dyDescent="0.2">
      <c r="A94" s="45"/>
      <c r="B94" s="48"/>
      <c r="C94" s="24"/>
      <c r="D94" s="27"/>
      <c r="E94" s="27"/>
      <c r="F94" s="24"/>
    </row>
    <row r="95" spans="1:6" ht="15.75" customHeight="1" x14ac:dyDescent="0.2">
      <c r="A95" s="45">
        <v>9</v>
      </c>
      <c r="B95" s="49" t="s">
        <v>25</v>
      </c>
      <c r="C95" s="24"/>
      <c r="D95" s="27"/>
      <c r="E95" s="27"/>
      <c r="F95" s="24"/>
    </row>
    <row r="96" spans="1:6" ht="15.75" customHeight="1" x14ac:dyDescent="0.2">
      <c r="A96" s="45"/>
      <c r="B96" s="48" t="s">
        <v>6</v>
      </c>
      <c r="C96" s="24" t="s">
        <v>26</v>
      </c>
      <c r="D96" s="27"/>
      <c r="E96" s="27" t="s">
        <v>27</v>
      </c>
      <c r="F96" s="24"/>
    </row>
    <row r="97" spans="1:11" ht="15.75" customHeight="1" x14ac:dyDescent="0.2">
      <c r="A97" s="45"/>
      <c r="B97" s="48" t="s">
        <v>8</v>
      </c>
      <c r="C97" s="24" t="s">
        <v>28</v>
      </c>
      <c r="D97" s="27"/>
      <c r="E97" s="27"/>
      <c r="F97" s="24"/>
      <c r="K97" s="28" t="s">
        <v>2</v>
      </c>
    </row>
    <row r="98" spans="1:11" ht="15.75" customHeight="1" x14ac:dyDescent="0.2">
      <c r="A98" s="46"/>
      <c r="B98" s="47"/>
      <c r="C98" s="26"/>
      <c r="D98" s="25"/>
      <c r="E98" s="25"/>
      <c r="F98" s="26"/>
    </row>
    <row r="99" spans="1:11" ht="15.75" customHeight="1" x14ac:dyDescent="0.2">
      <c r="A99" s="45"/>
      <c r="B99" s="48"/>
      <c r="C99" s="24"/>
      <c r="D99" s="27"/>
      <c r="E99" s="27"/>
      <c r="F99" s="24"/>
    </row>
    <row r="100" spans="1:11" ht="15.75" customHeight="1" x14ac:dyDescent="0.2">
      <c r="A100" s="45">
        <v>10</v>
      </c>
      <c r="B100" s="49" t="s">
        <v>29</v>
      </c>
      <c r="C100" s="24"/>
      <c r="D100" s="27"/>
      <c r="E100" s="27"/>
      <c r="F100" s="24"/>
    </row>
    <row r="101" spans="1:11" ht="15.75" customHeight="1" thickBot="1" x14ac:dyDescent="0.25">
      <c r="A101" s="58"/>
      <c r="B101" s="59"/>
      <c r="C101" s="60"/>
      <c r="D101" s="61"/>
      <c r="E101" s="61"/>
      <c r="F101" s="60"/>
    </row>
    <row r="102" spans="1:11" ht="15.75" customHeight="1" x14ac:dyDescent="0.2">
      <c r="A102" s="38"/>
      <c r="B102" s="38"/>
      <c r="D102" s="39"/>
      <c r="J102" s="28" t="s">
        <v>5</v>
      </c>
    </row>
    <row r="103" spans="1:11" ht="15.75" customHeight="1" x14ac:dyDescent="0.25">
      <c r="A103" s="29"/>
      <c r="B103" s="62" t="s">
        <v>30</v>
      </c>
      <c r="D103" s="63" t="s">
        <v>31</v>
      </c>
      <c r="E103" s="63"/>
      <c r="F103" s="63" t="s">
        <v>32</v>
      </c>
    </row>
    <row r="104" spans="1:11" ht="15.75" customHeight="1" x14ac:dyDescent="0.2">
      <c r="A104" s="40"/>
      <c r="B104" s="40"/>
      <c r="C104" s="41"/>
      <c r="D104" s="258" t="s">
        <v>33</v>
      </c>
      <c r="E104" s="258"/>
      <c r="F104" s="64" t="s">
        <v>220</v>
      </c>
    </row>
    <row r="105" spans="1:11" ht="15.75" customHeight="1" x14ac:dyDescent="0.2">
      <c r="A105" s="29"/>
      <c r="B105" s="29"/>
    </row>
    <row r="106" spans="1:11" ht="15.75" customHeight="1" x14ac:dyDescent="0.25">
      <c r="A106" s="29"/>
      <c r="B106" s="29"/>
      <c r="D106" s="63" t="s">
        <v>34</v>
      </c>
    </row>
    <row r="107" spans="1:11" ht="15.75" customHeight="1" x14ac:dyDescent="0.2"/>
    <row r="108" spans="1:11" ht="15.75" customHeight="1" x14ac:dyDescent="0.2">
      <c r="A108" s="29"/>
      <c r="B108" s="29"/>
    </row>
    <row r="109" spans="1:11" ht="15.75" customHeight="1" x14ac:dyDescent="0.2">
      <c r="A109" s="29"/>
      <c r="B109" s="29"/>
    </row>
    <row r="110" spans="1:11" ht="15.75" customHeight="1" x14ac:dyDescent="0.2">
      <c r="A110" s="29"/>
      <c r="B110" s="29"/>
    </row>
    <row r="111" spans="1:11" ht="15.75" customHeight="1" x14ac:dyDescent="0.25">
      <c r="A111" s="29"/>
      <c r="B111" s="29"/>
      <c r="D111" s="63" t="str">
        <f>D53</f>
        <v>Dodi Oktavianto, S.E.</v>
      </c>
    </row>
    <row r="112" spans="1:11" ht="15.75" customHeight="1" x14ac:dyDescent="0.25">
      <c r="A112" s="29"/>
      <c r="B112" s="29"/>
      <c r="D112" s="63" t="str">
        <f>D54</f>
        <v>NIP. 197810032008101001</v>
      </c>
      <c r="E112" s="66"/>
    </row>
    <row r="113" spans="1:2" ht="15.75" customHeight="1" x14ac:dyDescent="0.2">
      <c r="A113" s="29"/>
      <c r="B113" s="29"/>
    </row>
    <row r="114" spans="1:2" ht="15.75" customHeight="1" x14ac:dyDescent="0.2">
      <c r="A114" s="29"/>
      <c r="B114" s="29"/>
    </row>
    <row r="115" spans="1:2" ht="15.75" customHeight="1" x14ac:dyDescent="0.2">
      <c r="A115" s="29"/>
      <c r="B115" s="29"/>
    </row>
    <row r="116" spans="1:2" ht="15.75" customHeight="1" x14ac:dyDescent="0.2">
      <c r="A116" s="29"/>
      <c r="B116" s="29"/>
    </row>
    <row r="117" spans="1:2" ht="15.75" customHeight="1" x14ac:dyDescent="0.2">
      <c r="A117" s="29"/>
      <c r="B117" s="29"/>
    </row>
    <row r="118" spans="1:2" ht="15.75" customHeight="1" x14ac:dyDescent="0.2">
      <c r="A118" s="29"/>
      <c r="B118" s="29"/>
    </row>
    <row r="119" spans="1:2" ht="15.75" customHeight="1" x14ac:dyDescent="0.2">
      <c r="A119" s="29"/>
      <c r="B119" s="29"/>
    </row>
    <row r="120" spans="1:2" ht="15.75" customHeight="1" x14ac:dyDescent="0.2">
      <c r="A120" s="29"/>
      <c r="B120" s="29"/>
    </row>
    <row r="121" spans="1:2" ht="15.75" customHeight="1" x14ac:dyDescent="0.2">
      <c r="A121" s="29"/>
      <c r="B121" s="29"/>
    </row>
    <row r="122" spans="1:2" ht="15.75" customHeight="1" x14ac:dyDescent="0.2">
      <c r="A122" s="29"/>
      <c r="B122" s="29"/>
    </row>
    <row r="123" spans="1:2" ht="15.75" customHeight="1" x14ac:dyDescent="0.2">
      <c r="A123" s="29"/>
      <c r="B123" s="29"/>
    </row>
    <row r="124" spans="1:2" ht="15.75" customHeight="1" x14ac:dyDescent="0.2">
      <c r="A124" s="29"/>
      <c r="B124" s="29"/>
    </row>
    <row r="125" spans="1:2" ht="15.75" customHeight="1" x14ac:dyDescent="0.2">
      <c r="A125" s="29"/>
      <c r="B125" s="29"/>
    </row>
    <row r="126" spans="1:2" ht="15.75" customHeight="1" x14ac:dyDescent="0.2">
      <c r="A126" s="29"/>
      <c r="B126" s="29"/>
    </row>
    <row r="127" spans="1:2" ht="15.75" customHeight="1" x14ac:dyDescent="0.2">
      <c r="A127" s="29"/>
      <c r="B127" s="29"/>
    </row>
    <row r="128" spans="1:2" ht="15.75" customHeight="1" x14ac:dyDescent="0.2">
      <c r="A128" s="29"/>
      <c r="B128" s="29"/>
    </row>
    <row r="129" spans="1:2" ht="15.75" customHeight="1" x14ac:dyDescent="0.2">
      <c r="A129" s="29"/>
      <c r="B129" s="29"/>
    </row>
    <row r="130" spans="1:2" ht="15.75" customHeight="1" x14ac:dyDescent="0.2">
      <c r="A130" s="29"/>
      <c r="B130" s="29"/>
    </row>
    <row r="131" spans="1:2" ht="15.75" customHeight="1" x14ac:dyDescent="0.2">
      <c r="A131" s="29"/>
      <c r="B131" s="29"/>
    </row>
    <row r="132" spans="1:2" ht="15.75" customHeight="1" x14ac:dyDescent="0.2">
      <c r="A132" s="29"/>
      <c r="B132" s="29"/>
    </row>
    <row r="133" spans="1:2" ht="15.75" customHeight="1" x14ac:dyDescent="0.2">
      <c r="A133" s="29"/>
      <c r="B133" s="29"/>
    </row>
    <row r="134" spans="1:2" ht="15.75" customHeight="1" x14ac:dyDescent="0.2">
      <c r="A134" s="29"/>
      <c r="B134" s="29"/>
    </row>
    <row r="135" spans="1:2" ht="15.75" customHeight="1" x14ac:dyDescent="0.2">
      <c r="A135" s="29"/>
      <c r="B135" s="29"/>
    </row>
    <row r="136" spans="1:2" ht="15.75" customHeight="1" x14ac:dyDescent="0.2">
      <c r="A136" s="29"/>
      <c r="B136" s="29"/>
    </row>
    <row r="137" spans="1:2" ht="15.75" customHeight="1" x14ac:dyDescent="0.2">
      <c r="A137" s="29"/>
      <c r="B137" s="29"/>
    </row>
    <row r="138" spans="1:2" ht="15.75" customHeight="1" x14ac:dyDescent="0.2">
      <c r="A138" s="29"/>
      <c r="B138" s="29"/>
    </row>
    <row r="139" spans="1:2" ht="15.75" customHeight="1" x14ac:dyDescent="0.2">
      <c r="A139" s="29"/>
      <c r="B139" s="29"/>
    </row>
    <row r="140" spans="1:2" ht="15.75" customHeight="1" x14ac:dyDescent="0.2">
      <c r="A140" s="29"/>
      <c r="B140" s="29"/>
    </row>
    <row r="141" spans="1:2" ht="15.75" customHeight="1" x14ac:dyDescent="0.2">
      <c r="A141" s="29"/>
      <c r="B141" s="29"/>
    </row>
    <row r="142" spans="1:2" ht="15.75" customHeight="1" x14ac:dyDescent="0.2">
      <c r="A142" s="29"/>
      <c r="B142" s="29"/>
    </row>
    <row r="143" spans="1:2" ht="15.75" customHeight="1" x14ac:dyDescent="0.2">
      <c r="A143" s="29"/>
      <c r="B143" s="29"/>
    </row>
    <row r="144" spans="1:2" ht="15.75" customHeight="1" x14ac:dyDescent="0.2">
      <c r="A144" s="29"/>
      <c r="B144" s="29"/>
    </row>
    <row r="145" spans="1:2" ht="15.75" customHeight="1" x14ac:dyDescent="0.2">
      <c r="A145" s="29"/>
      <c r="B145" s="29"/>
    </row>
  </sheetData>
  <mergeCells count="9">
    <mergeCell ref="D104:E104"/>
    <mergeCell ref="A1:F1"/>
    <mergeCell ref="E13:F13"/>
    <mergeCell ref="E17:F17"/>
    <mergeCell ref="I17:S17"/>
    <mergeCell ref="D46:E46"/>
    <mergeCell ref="A59:F59"/>
    <mergeCell ref="E71:F71"/>
    <mergeCell ref="E75:F75"/>
  </mergeCells>
  <printOptions horizontalCentered="1"/>
  <pageMargins left="0.15748031496062992" right="0" top="0.94488188976377963" bottom="0.74803149606299213" header="0.31496062992125984" footer="0.31496062992125984"/>
  <pageSetup paperSize="9" scale="73" fitToWidth="0" orientation="portrait" horizontalDpi="360" verticalDpi="360" r:id="rId1"/>
  <rowBreaks count="1" manualBreakCount="1">
    <brk id="56" max="18" man="1"/>
  </rowBreaks>
  <colBreaks count="1" manualBreakCount="1">
    <brk id="6" max="11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8"/>
  <sheetViews>
    <sheetView topLeftCell="A93" zoomScale="90" zoomScaleNormal="90" workbookViewId="0">
      <selection activeCell="N93" sqref="N93"/>
    </sheetView>
  </sheetViews>
  <sheetFormatPr defaultColWidth="9.140625" defaultRowHeight="15" x14ac:dyDescent="0.2"/>
  <cols>
    <col min="1" max="1" width="4.7109375" style="68" customWidth="1"/>
    <col min="2" max="2" width="4.85546875" style="68" customWidth="1"/>
    <col min="3" max="3" width="17.85546875" style="68" customWidth="1"/>
    <col min="4" max="4" width="11.5703125" style="68" customWidth="1"/>
    <col min="5" max="5" width="2.140625" style="68" customWidth="1"/>
    <col min="6" max="6" width="4" style="68" customWidth="1"/>
    <col min="7" max="7" width="18.28515625" style="68" customWidth="1"/>
    <col min="8" max="8" width="6.7109375" style="68" customWidth="1"/>
    <col min="9" max="9" width="17.5703125" style="68" customWidth="1"/>
    <col min="10" max="10" width="4.42578125" style="68" customWidth="1"/>
    <col min="11" max="11" width="42.28515625" style="68" customWidth="1"/>
    <col min="12" max="12" width="17.140625" style="67" customWidth="1"/>
    <col min="13" max="13" width="14.28515625" style="68" bestFit="1" customWidth="1"/>
    <col min="14" max="14" width="13.85546875" style="69" bestFit="1" customWidth="1"/>
    <col min="15" max="15" width="12.28515625" style="69" customWidth="1"/>
    <col min="16" max="16" width="9.140625" style="68"/>
    <col min="17" max="17" width="10.28515625" style="69" bestFit="1" customWidth="1"/>
    <col min="18" max="16384" width="9.140625" style="68"/>
  </cols>
  <sheetData>
    <row r="1" spans="1:16" s="69" customFormat="1" ht="18" customHeight="1" x14ac:dyDescent="0.3">
      <c r="A1" s="265" t="s">
        <v>35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67"/>
      <c r="M1" s="68"/>
      <c r="P1" s="68"/>
    </row>
    <row r="2" spans="1:16" s="69" customFormat="1" ht="18" customHeight="1" x14ac:dyDescent="0.3">
      <c r="A2" s="68"/>
      <c r="B2" s="70"/>
      <c r="C2" s="70"/>
      <c r="D2" s="70"/>
      <c r="E2" s="70"/>
      <c r="F2" s="70"/>
      <c r="G2" s="71"/>
      <c r="H2" s="71"/>
      <c r="I2" s="68"/>
      <c r="J2" s="71"/>
      <c r="K2" s="70"/>
      <c r="L2" s="67"/>
      <c r="M2" s="68"/>
      <c r="P2" s="68"/>
    </row>
    <row r="3" spans="1:16" s="69" customFormat="1" ht="18" customHeight="1" x14ac:dyDescent="0.2">
      <c r="A3" s="68"/>
      <c r="B3" s="72" t="s">
        <v>36</v>
      </c>
      <c r="C3" s="72"/>
      <c r="D3" s="72"/>
      <c r="E3" s="72"/>
      <c r="F3" s="72"/>
      <c r="G3" s="68"/>
      <c r="H3" s="71" t="s">
        <v>37</v>
      </c>
      <c r="I3" s="73" t="s">
        <v>38</v>
      </c>
      <c r="J3" s="73"/>
      <c r="K3" s="71"/>
      <c r="L3" s="67"/>
      <c r="M3" s="68"/>
      <c r="P3" s="68"/>
    </row>
    <row r="4" spans="1:16" s="69" customFormat="1" ht="18" customHeight="1" x14ac:dyDescent="0.2">
      <c r="A4" s="68"/>
      <c r="B4" s="72" t="s">
        <v>39</v>
      </c>
      <c r="C4" s="72"/>
      <c r="D4" s="72"/>
      <c r="E4" s="72"/>
      <c r="F4" s="72"/>
      <c r="G4" s="68"/>
      <c r="H4" s="74" t="s">
        <v>37</v>
      </c>
      <c r="I4" s="75" t="s">
        <v>207</v>
      </c>
      <c r="J4" s="74"/>
      <c r="K4" s="68"/>
      <c r="L4" s="67"/>
      <c r="M4" s="68"/>
      <c r="P4" s="68"/>
    </row>
    <row r="5" spans="1:16" s="69" customFormat="1" ht="18" customHeight="1" x14ac:dyDescent="0.2">
      <c r="A5" s="68"/>
      <c r="B5" s="68"/>
      <c r="C5" s="68"/>
      <c r="D5" s="68"/>
      <c r="E5" s="68"/>
      <c r="F5" s="68"/>
      <c r="G5" s="68"/>
      <c r="H5" s="72"/>
      <c r="I5" s="72"/>
      <c r="J5" s="73"/>
      <c r="K5" s="76"/>
      <c r="L5" s="67"/>
      <c r="M5" s="68"/>
      <c r="P5" s="68"/>
    </row>
    <row r="6" spans="1:16" s="69" customFormat="1" ht="18" customHeight="1" thickBot="1" x14ac:dyDescent="0.35">
      <c r="A6" s="77"/>
      <c r="B6" s="77"/>
      <c r="C6" s="77"/>
      <c r="D6" s="77"/>
      <c r="E6" s="77"/>
      <c r="F6" s="77"/>
      <c r="G6" s="77"/>
      <c r="H6" s="77"/>
      <c r="I6" s="77"/>
      <c r="J6" s="77"/>
      <c r="K6" s="78"/>
      <c r="L6" s="67"/>
      <c r="M6" s="68"/>
      <c r="P6" s="68"/>
    </row>
    <row r="7" spans="1:16" s="69" customFormat="1" ht="18" customHeight="1" x14ac:dyDescent="0.3">
      <c r="A7" s="79" t="s">
        <v>2</v>
      </c>
      <c r="B7" s="79"/>
      <c r="C7" s="71"/>
      <c r="D7" s="71"/>
      <c r="E7" s="71"/>
      <c r="F7" s="71"/>
      <c r="G7" s="71"/>
      <c r="H7" s="80"/>
      <c r="I7" s="81"/>
      <c r="J7" s="82"/>
      <c r="K7" s="83" t="s">
        <v>2</v>
      </c>
      <c r="L7" s="67"/>
      <c r="M7" s="68"/>
      <c r="P7" s="68"/>
    </row>
    <row r="8" spans="1:16" s="69" customFormat="1" ht="18" customHeight="1" x14ac:dyDescent="0.3">
      <c r="A8" s="79" t="s">
        <v>40</v>
      </c>
      <c r="B8" s="266" t="s">
        <v>41</v>
      </c>
      <c r="C8" s="267"/>
      <c r="D8" s="267"/>
      <c r="E8" s="267"/>
      <c r="F8" s="267"/>
      <c r="G8" s="268"/>
      <c r="H8" s="266" t="s">
        <v>42</v>
      </c>
      <c r="I8" s="268"/>
      <c r="J8" s="266" t="s">
        <v>43</v>
      </c>
      <c r="K8" s="268"/>
      <c r="L8" s="67"/>
      <c r="M8" s="68"/>
      <c r="P8" s="68"/>
    </row>
    <row r="9" spans="1:16" s="69" customFormat="1" ht="18" customHeight="1" thickBot="1" x14ac:dyDescent="0.35">
      <c r="A9" s="84"/>
      <c r="B9" s="84"/>
      <c r="C9" s="77"/>
      <c r="D9" s="77"/>
      <c r="E9" s="77"/>
      <c r="F9" s="77"/>
      <c r="G9" s="77"/>
      <c r="H9" s="84" t="s">
        <v>2</v>
      </c>
      <c r="I9" s="85"/>
      <c r="J9" s="86"/>
      <c r="K9" s="87" t="s">
        <v>2</v>
      </c>
      <c r="L9" s="67"/>
      <c r="M9" s="68"/>
      <c r="P9" s="68"/>
    </row>
    <row r="10" spans="1:16" s="69" customFormat="1" ht="18" customHeight="1" x14ac:dyDescent="0.2">
      <c r="A10" s="88"/>
      <c r="B10" s="89"/>
      <c r="C10" s="68"/>
      <c r="D10" s="68"/>
      <c r="E10" s="68"/>
      <c r="F10" s="68"/>
      <c r="G10" s="68"/>
      <c r="H10" s="90"/>
      <c r="I10" s="68"/>
      <c r="J10" s="89"/>
      <c r="K10" s="83"/>
      <c r="L10" s="67"/>
      <c r="M10" s="68"/>
      <c r="P10" s="68"/>
    </row>
    <row r="11" spans="1:16" s="244" customFormat="1" ht="22.5" customHeight="1" x14ac:dyDescent="0.2">
      <c r="A11" s="91">
        <v>1</v>
      </c>
      <c r="B11" s="236" t="s">
        <v>187</v>
      </c>
      <c r="C11" s="237"/>
      <c r="D11" s="238"/>
      <c r="E11" s="94"/>
      <c r="F11" s="238"/>
      <c r="G11" s="95"/>
      <c r="H11" s="239" t="s">
        <v>44</v>
      </c>
      <c r="I11" s="240">
        <f>2*530000</f>
        <v>1060000</v>
      </c>
      <c r="J11" s="239"/>
      <c r="K11" s="241"/>
      <c r="L11" s="242"/>
      <c r="M11" s="243"/>
      <c r="N11" s="243"/>
      <c r="P11" s="238"/>
    </row>
    <row r="12" spans="1:16" s="244" customFormat="1" ht="20.100000000000001" customHeight="1" x14ac:dyDescent="0.2">
      <c r="A12" s="91">
        <v>2</v>
      </c>
      <c r="B12" s="236" t="s">
        <v>186</v>
      </c>
      <c r="C12" s="237"/>
      <c r="D12" s="238"/>
      <c r="E12" s="94"/>
      <c r="F12" s="238"/>
      <c r="G12" s="95"/>
      <c r="H12" s="239" t="s">
        <v>44</v>
      </c>
      <c r="I12" s="245">
        <v>2529207</v>
      </c>
      <c r="J12" s="239"/>
      <c r="K12" s="241"/>
      <c r="L12" s="246"/>
      <c r="M12" s="243"/>
      <c r="N12" s="238"/>
    </row>
    <row r="13" spans="1:16" s="244" customFormat="1" ht="20.100000000000001" hidden="1" customHeight="1" x14ac:dyDescent="0.2">
      <c r="A13" s="91">
        <v>3</v>
      </c>
      <c r="B13" s="236" t="s">
        <v>45</v>
      </c>
      <c r="C13" s="237"/>
      <c r="D13" s="238"/>
      <c r="E13" s="94"/>
      <c r="F13" s="238"/>
      <c r="G13" s="95"/>
      <c r="H13" s="239" t="s">
        <v>44</v>
      </c>
      <c r="I13" s="240"/>
      <c r="J13" s="239"/>
      <c r="K13" s="241"/>
      <c r="L13" s="246"/>
      <c r="N13" s="238"/>
    </row>
    <row r="14" spans="1:16" s="244" customFormat="1" ht="20.100000000000001" hidden="1" customHeight="1" x14ac:dyDescent="0.2">
      <c r="A14" s="91">
        <v>4</v>
      </c>
      <c r="B14" s="236" t="s">
        <v>46</v>
      </c>
      <c r="C14" s="237"/>
      <c r="D14" s="238"/>
      <c r="E14" s="94"/>
      <c r="F14" s="238"/>
      <c r="G14" s="95"/>
      <c r="H14" s="239" t="s">
        <v>44</v>
      </c>
      <c r="I14" s="247"/>
      <c r="J14" s="238"/>
      <c r="K14" s="248"/>
      <c r="L14" s="242"/>
      <c r="N14" s="238"/>
    </row>
    <row r="15" spans="1:16" s="244" customFormat="1" ht="20.100000000000001" hidden="1" customHeight="1" x14ac:dyDescent="0.2">
      <c r="A15" s="91">
        <v>5</v>
      </c>
      <c r="B15" s="236" t="s">
        <v>152</v>
      </c>
      <c r="C15" s="237"/>
      <c r="D15" s="238"/>
      <c r="E15" s="94"/>
      <c r="F15" s="238"/>
      <c r="G15" s="95"/>
      <c r="H15" s="239" t="s">
        <v>44</v>
      </c>
      <c r="I15" s="247"/>
      <c r="J15" s="238"/>
      <c r="K15" s="248"/>
      <c r="L15" s="242"/>
      <c r="N15" s="238"/>
    </row>
    <row r="16" spans="1:16" s="69" customFormat="1" ht="18" customHeight="1" thickBot="1" x14ac:dyDescent="0.25">
      <c r="A16" s="97"/>
      <c r="B16" s="84"/>
      <c r="C16" s="77"/>
      <c r="D16" s="77"/>
      <c r="E16" s="77"/>
      <c r="F16" s="77"/>
      <c r="G16" s="77"/>
      <c r="H16" s="84"/>
      <c r="I16" s="98"/>
      <c r="J16" s="99"/>
      <c r="K16" s="100"/>
      <c r="L16" s="101"/>
      <c r="M16" s="102"/>
      <c r="N16" s="68"/>
      <c r="O16" s="102"/>
    </row>
    <row r="17" spans="1:17" s="69" customFormat="1" ht="18" customHeight="1" thickBot="1" x14ac:dyDescent="0.35">
      <c r="A17" s="103"/>
      <c r="B17" s="86"/>
      <c r="C17" s="104"/>
      <c r="D17" s="104"/>
      <c r="E17" s="104"/>
      <c r="F17" s="104"/>
      <c r="G17" s="104"/>
      <c r="H17" s="105" t="s">
        <v>44</v>
      </c>
      <c r="I17" s="106">
        <f>SUM(I11:I14)</f>
        <v>3589207</v>
      </c>
      <c r="J17" s="107"/>
      <c r="K17" s="108"/>
      <c r="L17" s="101"/>
      <c r="M17" s="102"/>
      <c r="N17" s="68"/>
      <c r="O17" s="102"/>
    </row>
    <row r="18" spans="1:17" s="69" customFormat="1" ht="18" customHeight="1" x14ac:dyDescent="0.3">
      <c r="A18" s="89"/>
      <c r="B18" s="68"/>
      <c r="C18" s="68"/>
      <c r="D18" s="68"/>
      <c r="E18" s="68"/>
      <c r="F18" s="68"/>
      <c r="G18" s="68"/>
      <c r="H18" s="109"/>
      <c r="I18" s="109"/>
      <c r="J18" s="109"/>
      <c r="K18" s="110"/>
      <c r="L18" s="101"/>
      <c r="M18" s="68"/>
      <c r="N18" s="102"/>
      <c r="O18" s="102"/>
      <c r="P18" s="102"/>
      <c r="Q18" s="102"/>
    </row>
    <row r="19" spans="1:17" s="69" customFormat="1" ht="18" customHeight="1" x14ac:dyDescent="0.3">
      <c r="A19" s="89"/>
      <c r="B19" s="109" t="s">
        <v>47</v>
      </c>
      <c r="C19" s="109"/>
      <c r="D19" s="111" t="str">
        <f>[1]!terbilang(I17,4,"rupiah,-")</f>
        <v>Tiga juta lima ratus delapan puluh sembilan ribu dua ratus tujuh rupiah,-</v>
      </c>
      <c r="E19" s="111"/>
      <c r="F19" s="111"/>
      <c r="G19" s="111"/>
      <c r="H19" s="111"/>
      <c r="I19" s="111"/>
      <c r="J19" s="111"/>
      <c r="K19" s="112"/>
      <c r="L19" s="101"/>
      <c r="M19" s="68"/>
      <c r="N19" s="102"/>
      <c r="O19" s="102"/>
      <c r="P19" s="68"/>
      <c r="Q19" s="102"/>
    </row>
    <row r="20" spans="1:17" s="69" customFormat="1" ht="18" customHeight="1" thickBot="1" x14ac:dyDescent="0.25">
      <c r="A20" s="84"/>
      <c r="B20" s="77"/>
      <c r="C20" s="77"/>
      <c r="D20" s="77"/>
      <c r="E20" s="77"/>
      <c r="F20" s="77"/>
      <c r="G20" s="77"/>
      <c r="H20" s="77"/>
      <c r="I20" s="77"/>
      <c r="J20" s="77"/>
      <c r="K20" s="100"/>
      <c r="L20" s="101"/>
      <c r="M20" s="68"/>
      <c r="N20" s="102"/>
      <c r="O20" s="102"/>
      <c r="P20" s="68"/>
      <c r="Q20" s="102"/>
    </row>
    <row r="21" spans="1:17" s="69" customFormat="1" ht="18" customHeight="1" x14ac:dyDescent="0.2">
      <c r="A21" s="68"/>
      <c r="B21" s="68"/>
      <c r="C21" s="68"/>
      <c r="D21" s="68"/>
      <c r="E21" s="68"/>
      <c r="F21" s="68"/>
      <c r="G21" s="68"/>
      <c r="H21" s="113"/>
      <c r="I21" s="113"/>
      <c r="J21" s="113"/>
      <c r="K21" s="113"/>
      <c r="L21" s="67"/>
      <c r="M21" s="68"/>
      <c r="N21" s="102"/>
      <c r="O21" s="102"/>
      <c r="P21" s="68"/>
      <c r="Q21" s="102"/>
    </row>
    <row r="22" spans="1:17" s="69" customFormat="1" ht="18" customHeight="1" x14ac:dyDescent="0.2">
      <c r="A22" s="68"/>
      <c r="B22" s="68"/>
      <c r="C22" s="68"/>
      <c r="D22" s="68"/>
      <c r="E22" s="68"/>
      <c r="F22" s="68"/>
      <c r="G22" s="68"/>
      <c r="H22" s="73" t="s">
        <v>208</v>
      </c>
      <c r="I22" s="68"/>
      <c r="J22" s="114"/>
      <c r="K22" s="68"/>
      <c r="L22" s="67"/>
      <c r="M22" s="68"/>
      <c r="N22" s="102"/>
      <c r="O22" s="102"/>
      <c r="P22" s="68"/>
      <c r="Q22" s="102"/>
    </row>
    <row r="23" spans="1:17" s="69" customFormat="1" ht="18" customHeight="1" x14ac:dyDescent="0.2">
      <c r="A23" s="68"/>
      <c r="B23" s="68" t="s">
        <v>48</v>
      </c>
      <c r="C23" s="68"/>
      <c r="D23" s="68"/>
      <c r="E23" s="68"/>
      <c r="F23" s="68"/>
      <c r="G23" s="68"/>
      <c r="H23" s="68" t="s">
        <v>49</v>
      </c>
      <c r="I23" s="68"/>
      <c r="J23" s="68"/>
      <c r="K23" s="68"/>
      <c r="L23" s="67"/>
      <c r="M23" s="68"/>
      <c r="N23" s="102"/>
      <c r="O23" s="102"/>
      <c r="P23" s="68"/>
      <c r="Q23" s="102"/>
    </row>
    <row r="24" spans="1:17" s="69" customFormat="1" ht="18" customHeight="1" x14ac:dyDescent="0.2">
      <c r="A24" s="68"/>
      <c r="B24" s="72" t="s">
        <v>44</v>
      </c>
      <c r="C24" s="115">
        <f>I17</f>
        <v>3589207</v>
      </c>
      <c r="D24" s="116" t="s">
        <v>50</v>
      </c>
      <c r="E24" s="68"/>
      <c r="F24" s="68"/>
      <c r="G24" s="68"/>
      <c r="H24" s="109" t="s">
        <v>44</v>
      </c>
      <c r="I24" s="117">
        <f>I17</f>
        <v>3589207</v>
      </c>
      <c r="J24" s="68" t="s">
        <v>50</v>
      </c>
      <c r="K24" s="68" t="s">
        <v>2</v>
      </c>
      <c r="L24" s="67"/>
      <c r="M24" s="68"/>
      <c r="N24" s="102"/>
      <c r="O24" s="102"/>
      <c r="P24" s="68"/>
      <c r="Q24" s="102"/>
    </row>
    <row r="25" spans="1:17" s="69" customFormat="1" ht="18" customHeight="1" x14ac:dyDescent="0.2">
      <c r="A25" s="68"/>
      <c r="B25" s="68"/>
      <c r="C25" s="68"/>
      <c r="D25" s="68"/>
      <c r="E25" s="68"/>
      <c r="F25" s="68"/>
      <c r="G25" s="68"/>
      <c r="H25" s="269" t="str">
        <f>[1]!terbilang(I24,4,"rupiah,-")</f>
        <v>Tiga juta lima ratus delapan puluh sembilan ribu dua ratus tujuh rupiah,-</v>
      </c>
      <c r="I25" s="269"/>
      <c r="J25" s="269"/>
      <c r="K25" s="269"/>
      <c r="L25" s="67"/>
      <c r="M25" s="68"/>
      <c r="N25" s="102"/>
      <c r="O25" s="102"/>
      <c r="P25" s="68"/>
      <c r="Q25" s="102"/>
    </row>
    <row r="26" spans="1:17" s="69" customFormat="1" ht="18" customHeight="1" x14ac:dyDescent="0.2">
      <c r="A26" s="68"/>
      <c r="B26" s="68"/>
      <c r="C26" s="68"/>
      <c r="D26" s="68"/>
      <c r="E26" s="68"/>
      <c r="F26" s="68"/>
      <c r="G26" s="68"/>
      <c r="H26" s="269"/>
      <c r="I26" s="269"/>
      <c r="J26" s="269"/>
      <c r="K26" s="269"/>
      <c r="L26" s="67" t="s">
        <v>2</v>
      </c>
      <c r="M26" s="68"/>
      <c r="N26" s="102"/>
      <c r="O26" s="102"/>
      <c r="P26" s="68"/>
      <c r="Q26" s="102"/>
    </row>
    <row r="27" spans="1:17" ht="18" customHeight="1" x14ac:dyDescent="0.2">
      <c r="I27" s="68" t="s">
        <v>5</v>
      </c>
      <c r="N27" s="102"/>
      <c r="O27" s="102"/>
      <c r="Q27" s="102"/>
    </row>
    <row r="28" spans="1:17" ht="18" customHeight="1" x14ac:dyDescent="0.2">
      <c r="N28" s="102"/>
      <c r="O28" s="102"/>
      <c r="Q28" s="102"/>
    </row>
    <row r="29" spans="1:17" s="69" customFormat="1" ht="18" customHeight="1" x14ac:dyDescent="0.2">
      <c r="A29" s="68"/>
      <c r="B29" s="68" t="s">
        <v>51</v>
      </c>
      <c r="C29" s="68"/>
      <c r="D29" s="68"/>
      <c r="E29" s="68"/>
      <c r="F29" s="68"/>
      <c r="G29" s="68"/>
      <c r="H29" s="68"/>
      <c r="I29" s="68"/>
      <c r="J29" s="68" t="s">
        <v>52</v>
      </c>
      <c r="K29" s="68"/>
      <c r="L29" s="67"/>
      <c r="M29" s="68"/>
      <c r="N29" s="102"/>
      <c r="O29" s="102"/>
      <c r="P29" s="68"/>
      <c r="Q29" s="102"/>
    </row>
    <row r="30" spans="1:17" ht="18" customHeight="1" x14ac:dyDescent="0.2">
      <c r="N30" s="102"/>
      <c r="O30" s="102"/>
      <c r="Q30" s="102"/>
    </row>
    <row r="31" spans="1:17" ht="18" customHeight="1" x14ac:dyDescent="0.2">
      <c r="N31" s="102"/>
      <c r="O31" s="102"/>
      <c r="Q31" s="102"/>
    </row>
    <row r="32" spans="1:17" ht="18" customHeight="1" x14ac:dyDescent="0.2">
      <c r="N32" s="102"/>
      <c r="O32" s="102"/>
      <c r="Q32" s="102"/>
    </row>
    <row r="33" spans="1:16" s="69" customFormat="1" ht="18" customHeight="1" x14ac:dyDescent="0.25">
      <c r="A33" s="68"/>
      <c r="B33" s="109" t="s">
        <v>53</v>
      </c>
      <c r="C33" s="109"/>
      <c r="D33" s="109"/>
      <c r="E33" s="109"/>
      <c r="F33" s="109"/>
      <c r="G33" s="109"/>
      <c r="H33" s="109"/>
      <c r="I33" s="68"/>
      <c r="J33" s="127" t="str">
        <f>'SPD (2)'!E8</f>
        <v>Dr. Ir. Selamat Muslimin, S.T., M.Kom.</v>
      </c>
      <c r="K33" s="109"/>
      <c r="L33" s="67"/>
      <c r="M33" s="109"/>
      <c r="N33" s="109"/>
      <c r="P33" s="68"/>
    </row>
    <row r="34" spans="1:16" s="69" customFormat="1" ht="18" customHeight="1" x14ac:dyDescent="0.2">
      <c r="A34" s="68"/>
      <c r="B34" s="68" t="s">
        <v>54</v>
      </c>
      <c r="C34" s="68"/>
      <c r="D34" s="68"/>
      <c r="E34" s="68"/>
      <c r="F34" s="68"/>
      <c r="G34" s="68"/>
      <c r="H34" s="68"/>
      <c r="I34" s="68"/>
      <c r="J34" s="68" t="s">
        <v>55</v>
      </c>
      <c r="K34" s="118" t="str">
        <f>'SPD (2)'!E9</f>
        <v>197907222008011007</v>
      </c>
      <c r="L34" s="67"/>
      <c r="M34" s="109"/>
      <c r="N34" s="109"/>
      <c r="P34" s="68"/>
    </row>
    <row r="35" spans="1:16" s="69" customFormat="1" ht="18" customHeight="1" thickBot="1" x14ac:dyDescent="0.2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67"/>
      <c r="M35" s="68"/>
      <c r="P35" s="68"/>
    </row>
    <row r="37" spans="1:16" s="69" customFormat="1" ht="18" customHeight="1" x14ac:dyDescent="0.2">
      <c r="A37" s="68"/>
      <c r="B37" s="265" t="s">
        <v>56</v>
      </c>
      <c r="C37" s="265"/>
      <c r="D37" s="265"/>
      <c r="E37" s="265"/>
      <c r="F37" s="265"/>
      <c r="G37" s="265"/>
      <c r="H37" s="265"/>
      <c r="I37" s="265"/>
      <c r="J37" s="265"/>
      <c r="K37" s="265"/>
      <c r="L37" s="67"/>
      <c r="M37" s="68"/>
      <c r="P37" s="68"/>
    </row>
    <row r="38" spans="1:16" s="69" customFormat="1" ht="18" customHeight="1" x14ac:dyDescent="0.2">
      <c r="A38" s="6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67"/>
      <c r="M38" s="68"/>
      <c r="P38" s="68"/>
    </row>
    <row r="40" spans="1:16" s="69" customFormat="1" ht="18" customHeight="1" x14ac:dyDescent="0.2">
      <c r="A40" s="68"/>
      <c r="B40" s="68" t="s">
        <v>57</v>
      </c>
      <c r="C40" s="68"/>
      <c r="D40" s="68"/>
      <c r="E40" s="109" t="s">
        <v>37</v>
      </c>
      <c r="F40" s="115"/>
      <c r="G40" s="120">
        <f>C24</f>
        <v>3589207</v>
      </c>
      <c r="H40" s="120" t="s">
        <v>50</v>
      </c>
      <c r="I40" s="68"/>
      <c r="J40" s="68"/>
      <c r="K40" s="68"/>
      <c r="L40" s="67"/>
      <c r="M40" s="68"/>
      <c r="P40" s="68"/>
    </row>
    <row r="41" spans="1:16" s="69" customFormat="1" ht="18" customHeight="1" thickBot="1" x14ac:dyDescent="0.25">
      <c r="A41" s="68"/>
      <c r="B41" s="68" t="s">
        <v>58</v>
      </c>
      <c r="C41" s="68"/>
      <c r="D41" s="68"/>
      <c r="E41" s="109" t="s">
        <v>37</v>
      </c>
      <c r="F41" s="121"/>
      <c r="G41" s="122">
        <f>I24</f>
        <v>3589207</v>
      </c>
      <c r="H41" s="122" t="s">
        <v>50</v>
      </c>
      <c r="I41" s="68"/>
      <c r="J41" s="68"/>
      <c r="K41" s="68"/>
      <c r="L41" s="67"/>
      <c r="M41" s="68"/>
      <c r="P41" s="68"/>
    </row>
    <row r="42" spans="1:16" s="69" customFormat="1" ht="18" customHeight="1" x14ac:dyDescent="0.2">
      <c r="A42" s="68"/>
      <c r="B42" s="68" t="s">
        <v>59</v>
      </c>
      <c r="C42" s="68"/>
      <c r="D42" s="68"/>
      <c r="E42" s="109" t="s">
        <v>37</v>
      </c>
      <c r="F42" s="70"/>
      <c r="G42" s="70" t="s">
        <v>60</v>
      </c>
      <c r="H42" s="123" t="s">
        <v>61</v>
      </c>
      <c r="I42" s="68"/>
      <c r="J42" s="68"/>
      <c r="K42" s="68"/>
      <c r="L42" s="67"/>
      <c r="M42" s="68"/>
      <c r="P42" s="68"/>
    </row>
    <row r="45" spans="1:16" s="69" customFormat="1" ht="18" customHeight="1" x14ac:dyDescent="0.2">
      <c r="A45" s="68"/>
      <c r="B45" s="68"/>
      <c r="C45" s="68"/>
      <c r="D45" s="68"/>
      <c r="E45" s="68"/>
      <c r="F45" s="68"/>
      <c r="G45" s="73" t="s">
        <v>62</v>
      </c>
      <c r="H45" s="73"/>
      <c r="I45" s="73"/>
      <c r="J45" s="68"/>
      <c r="K45" s="68"/>
      <c r="L45" s="67"/>
      <c r="M45" s="68"/>
      <c r="P45" s="68"/>
    </row>
    <row r="46" spans="1:16" s="69" customFormat="1" ht="18" customHeight="1" x14ac:dyDescent="0.2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7"/>
      <c r="M46" s="68"/>
      <c r="P46" s="68"/>
    </row>
    <row r="47" spans="1:16" s="69" customFormat="1" ht="18" customHeight="1" x14ac:dyDescent="0.2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7"/>
      <c r="M47" s="68"/>
      <c r="P47" s="68"/>
    </row>
    <row r="48" spans="1:16" s="69" customFormat="1" ht="18" customHeight="1" x14ac:dyDescent="0.2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7"/>
      <c r="M48" s="68"/>
      <c r="P48" s="68"/>
    </row>
    <row r="49" spans="1:17" s="69" customFormat="1" ht="18" customHeight="1" x14ac:dyDescent="0.2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7"/>
      <c r="M49" s="68"/>
      <c r="P49" s="68"/>
    </row>
    <row r="50" spans="1:17" s="69" customFormat="1" ht="18" customHeight="1" x14ac:dyDescent="0.2">
      <c r="A50" s="68"/>
      <c r="B50" s="68"/>
      <c r="C50" s="68"/>
      <c r="D50" s="68"/>
      <c r="E50" s="68"/>
      <c r="F50" s="68"/>
      <c r="G50" s="109" t="s">
        <v>63</v>
      </c>
      <c r="H50" s="109"/>
      <c r="I50" s="109"/>
      <c r="J50" s="124"/>
      <c r="K50" s="68"/>
      <c r="L50" s="67"/>
      <c r="M50" s="68"/>
      <c r="P50" s="68"/>
    </row>
    <row r="51" spans="1:17" s="69" customFormat="1" ht="18" customHeight="1" x14ac:dyDescent="0.2">
      <c r="A51" s="68"/>
      <c r="B51" s="68"/>
      <c r="C51" s="68"/>
      <c r="D51" s="68"/>
      <c r="E51" s="68"/>
      <c r="F51" s="68"/>
      <c r="G51" s="270" t="s">
        <v>64</v>
      </c>
      <c r="H51" s="270"/>
      <c r="I51" s="270"/>
      <c r="J51" s="109"/>
      <c r="K51" s="68"/>
      <c r="L51" s="67"/>
      <c r="M51" s="68"/>
      <c r="P51" s="68"/>
    </row>
    <row r="53" spans="1:17" s="69" customFormat="1" ht="18" customHeight="1" x14ac:dyDescent="0.2">
      <c r="A53" s="68" t="s">
        <v>2</v>
      </c>
      <c r="B53" s="68"/>
      <c r="C53" s="68"/>
      <c r="D53" s="68"/>
      <c r="E53" s="68"/>
      <c r="F53" s="68"/>
      <c r="G53" s="68"/>
      <c r="H53" s="68"/>
      <c r="I53" s="68" t="s">
        <v>65</v>
      </c>
      <c r="J53" s="68"/>
      <c r="K53" s="68" t="s">
        <v>66</v>
      </c>
      <c r="L53" s="67"/>
      <c r="M53" s="68"/>
      <c r="P53" s="68"/>
    </row>
    <row r="54" spans="1:17" s="69" customFormat="1" ht="18" customHeight="1" x14ac:dyDescent="0.2">
      <c r="A54" s="68"/>
      <c r="B54" s="68"/>
      <c r="C54" s="68"/>
      <c r="D54" s="68"/>
      <c r="E54" s="68"/>
      <c r="F54" s="68"/>
      <c r="G54" s="68"/>
      <c r="H54" s="68"/>
      <c r="I54" s="68" t="s">
        <v>67</v>
      </c>
      <c r="J54" s="68"/>
      <c r="K54" s="68" t="s">
        <v>66</v>
      </c>
      <c r="L54" s="67"/>
      <c r="M54" s="68"/>
      <c r="P54" s="68"/>
    </row>
    <row r="55" spans="1:17" s="69" customFormat="1" ht="18" customHeight="1" x14ac:dyDescent="0.2">
      <c r="A55" s="68"/>
      <c r="B55" s="68"/>
      <c r="C55" s="68"/>
      <c r="D55" s="68"/>
      <c r="E55" s="68"/>
      <c r="F55" s="68"/>
      <c r="G55" s="68"/>
      <c r="H55" s="68"/>
      <c r="I55" s="68" t="s">
        <v>68</v>
      </c>
      <c r="J55" s="68"/>
      <c r="K55" s="68" t="s">
        <v>69</v>
      </c>
      <c r="L55" s="67"/>
      <c r="M55" s="68"/>
      <c r="P55" s="68"/>
    </row>
    <row r="58" spans="1:17" s="69" customFormat="1" ht="18" customHeight="1" x14ac:dyDescent="0.2">
      <c r="A58" s="265" t="s">
        <v>70</v>
      </c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67"/>
      <c r="M58" s="68"/>
      <c r="P58" s="68"/>
    </row>
    <row r="61" spans="1:17" s="69" customFormat="1" ht="18" customHeight="1" x14ac:dyDescent="0.2">
      <c r="A61" s="68"/>
      <c r="B61" s="68" t="s">
        <v>71</v>
      </c>
      <c r="C61" s="68"/>
      <c r="D61" s="68"/>
      <c r="E61" s="68" t="s">
        <v>37</v>
      </c>
      <c r="F61" s="68" t="s">
        <v>72</v>
      </c>
      <c r="G61" s="68"/>
      <c r="H61" s="68"/>
      <c r="I61" s="68"/>
      <c r="J61" s="68"/>
      <c r="K61" s="68"/>
      <c r="L61" s="67"/>
      <c r="M61" s="68"/>
      <c r="N61" s="68"/>
      <c r="P61" s="68"/>
      <c r="Q61" s="68"/>
    </row>
    <row r="62" spans="1:17" s="69" customFormat="1" ht="18" customHeight="1" x14ac:dyDescent="0.2">
      <c r="A62" s="68"/>
      <c r="B62" s="68" t="s">
        <v>73</v>
      </c>
      <c r="C62" s="68"/>
      <c r="D62" s="68"/>
      <c r="E62" s="68" t="s">
        <v>37</v>
      </c>
      <c r="F62" s="68" t="s">
        <v>44</v>
      </c>
      <c r="G62" s="115">
        <f>I17</f>
        <v>3589207</v>
      </c>
      <c r="H62" s="125" t="s">
        <v>50</v>
      </c>
      <c r="I62" s="68"/>
      <c r="J62" s="68"/>
      <c r="K62" s="68"/>
      <c r="L62" s="67"/>
      <c r="M62" s="68"/>
      <c r="N62" s="68"/>
      <c r="P62" s="68"/>
      <c r="Q62" s="68"/>
    </row>
    <row r="63" spans="1:17" s="69" customFormat="1" ht="18" customHeight="1" x14ac:dyDescent="0.2">
      <c r="A63" s="68"/>
      <c r="B63" s="68" t="s">
        <v>74</v>
      </c>
      <c r="C63" s="68"/>
      <c r="D63" s="68"/>
      <c r="E63" s="68" t="s">
        <v>37</v>
      </c>
      <c r="F63" s="68" t="s">
        <v>75</v>
      </c>
      <c r="G63" s="68"/>
      <c r="H63" s="68"/>
      <c r="I63" s="68"/>
      <c r="J63" s="68"/>
      <c r="K63" s="68"/>
      <c r="L63" s="67"/>
      <c r="M63" s="68"/>
      <c r="N63" s="68"/>
      <c r="P63" s="68"/>
      <c r="Q63" s="68"/>
    </row>
    <row r="64" spans="1:17" s="69" customFormat="1" ht="18" customHeight="1" x14ac:dyDescent="0.2">
      <c r="A64" s="68"/>
      <c r="B64" s="68" t="s">
        <v>76</v>
      </c>
      <c r="C64" s="68"/>
      <c r="D64" s="68"/>
      <c r="E64" s="68" t="s">
        <v>37</v>
      </c>
      <c r="F64" s="68" t="s">
        <v>77</v>
      </c>
      <c r="G64" s="68"/>
      <c r="H64" s="68"/>
      <c r="I64" s="68"/>
      <c r="J64" s="68"/>
      <c r="K64" s="68"/>
      <c r="L64" s="67"/>
      <c r="M64" s="68"/>
      <c r="N64" s="68"/>
      <c r="P64" s="68"/>
      <c r="Q64" s="68"/>
    </row>
    <row r="65" spans="1:17" s="69" customFormat="1" ht="18" customHeight="1" x14ac:dyDescent="0.2">
      <c r="A65" s="68"/>
      <c r="B65" s="68" t="s">
        <v>78</v>
      </c>
      <c r="C65" s="68"/>
      <c r="D65" s="68"/>
      <c r="E65" s="68" t="s">
        <v>37</v>
      </c>
      <c r="F65" s="68" t="s">
        <v>38</v>
      </c>
      <c r="G65" s="68"/>
      <c r="H65" s="68"/>
      <c r="I65" s="68"/>
      <c r="J65" s="68"/>
      <c r="K65" s="68"/>
      <c r="L65" s="67"/>
      <c r="M65" s="68"/>
      <c r="N65" s="68"/>
      <c r="P65" s="68"/>
      <c r="Q65" s="68"/>
    </row>
    <row r="66" spans="1:17" s="69" customFormat="1" ht="18" customHeight="1" x14ac:dyDescent="0.2">
      <c r="A66" s="68"/>
      <c r="B66" s="68" t="s">
        <v>79</v>
      </c>
      <c r="C66" s="68"/>
      <c r="D66" s="68"/>
      <c r="E66" s="68" t="s">
        <v>37</v>
      </c>
      <c r="F66" s="114" t="str">
        <f>I4</f>
        <v>15 Januari 2026</v>
      </c>
      <c r="G66" s="68"/>
      <c r="H66" s="68"/>
      <c r="I66" s="68"/>
      <c r="J66" s="68"/>
      <c r="K66" s="68"/>
      <c r="L66" s="67"/>
      <c r="M66" s="68"/>
      <c r="N66" s="68"/>
      <c r="P66" s="68"/>
      <c r="Q66" s="68"/>
    </row>
    <row r="67" spans="1:17" s="69" customFormat="1" ht="18" customHeight="1" x14ac:dyDescent="0.2">
      <c r="A67" s="68"/>
      <c r="B67" s="68" t="s">
        <v>80</v>
      </c>
      <c r="C67" s="68"/>
      <c r="D67" s="68"/>
      <c r="E67" s="68" t="s">
        <v>37</v>
      </c>
      <c r="F67" s="68" t="s">
        <v>188</v>
      </c>
      <c r="G67" s="68"/>
      <c r="H67" s="68"/>
      <c r="I67" s="68"/>
      <c r="J67" s="68"/>
      <c r="K67" s="68"/>
      <c r="L67" s="67"/>
      <c r="M67" s="68"/>
      <c r="N67" s="68"/>
      <c r="P67" s="68"/>
      <c r="Q67" s="68"/>
    </row>
    <row r="68" spans="1:17" s="69" customFormat="1" ht="18" customHeight="1" x14ac:dyDescent="0.2">
      <c r="A68" s="68"/>
      <c r="B68" s="68" t="s">
        <v>81</v>
      </c>
      <c r="C68" s="68"/>
      <c r="D68" s="68"/>
      <c r="E68" s="68" t="s">
        <v>37</v>
      </c>
      <c r="F68" s="269" t="str">
        <f>[1]!terbilang(G62,4,"rupiah,-")</f>
        <v>Tiga juta lima ratus delapan puluh sembilan ribu dua ratus tujuh rupiah,-</v>
      </c>
      <c r="G68" s="269"/>
      <c r="H68" s="269"/>
      <c r="I68" s="269"/>
      <c r="J68" s="269"/>
      <c r="K68" s="269"/>
      <c r="L68" s="126"/>
      <c r="M68" s="68"/>
      <c r="N68" s="68"/>
      <c r="P68" s="68"/>
      <c r="Q68" s="68"/>
    </row>
    <row r="69" spans="1:17" s="69" customFormat="1" ht="18" customHeight="1" x14ac:dyDescent="0.2">
      <c r="A69" s="68"/>
      <c r="B69" s="68"/>
      <c r="C69" s="68"/>
      <c r="D69" s="68"/>
      <c r="E69" s="68"/>
      <c r="F69" s="269"/>
      <c r="G69" s="269"/>
      <c r="H69" s="269"/>
      <c r="I69" s="269"/>
      <c r="J69" s="269"/>
      <c r="K69" s="269"/>
      <c r="L69" s="67"/>
      <c r="M69" s="68"/>
      <c r="P69" s="68"/>
    </row>
    <row r="72" spans="1:17" s="69" customFormat="1" ht="18" customHeight="1" x14ac:dyDescent="0.2">
      <c r="A72" s="68"/>
      <c r="B72" s="68" t="s">
        <v>82</v>
      </c>
      <c r="C72" s="68"/>
      <c r="D72" s="68"/>
      <c r="E72" s="68"/>
      <c r="F72" s="68"/>
      <c r="G72" s="68"/>
      <c r="H72" s="68"/>
      <c r="I72" s="68" t="s">
        <v>2</v>
      </c>
      <c r="J72" s="68" t="str">
        <f>H22</f>
        <v>Palembang, 15 Januari 2026</v>
      </c>
      <c r="K72" s="68"/>
      <c r="L72" s="67"/>
      <c r="M72" s="68"/>
      <c r="P72" s="68"/>
    </row>
    <row r="73" spans="1:17" s="69" customFormat="1" ht="18" customHeight="1" x14ac:dyDescent="0.2">
      <c r="A73" s="68"/>
      <c r="B73" s="68" t="s">
        <v>51</v>
      </c>
      <c r="C73" s="68"/>
      <c r="D73" s="68"/>
      <c r="E73" s="68"/>
      <c r="F73" s="68"/>
      <c r="G73" s="68"/>
      <c r="H73" s="68"/>
      <c r="I73" s="68"/>
      <c r="J73" s="68" t="s">
        <v>52</v>
      </c>
      <c r="K73" s="68"/>
      <c r="L73" s="67"/>
      <c r="M73" s="68"/>
      <c r="P73" s="68"/>
    </row>
    <row r="74" spans="1:17" s="69" customFormat="1" ht="18" customHeight="1" x14ac:dyDescent="0.2">
      <c r="A74" s="68"/>
      <c r="B74" s="68"/>
      <c r="C74" s="68"/>
      <c r="D74" s="68"/>
      <c r="E74" s="68"/>
      <c r="F74" s="68"/>
      <c r="G74" s="68"/>
      <c r="H74" s="68" t="s">
        <v>2</v>
      </c>
      <c r="I74" s="68" t="s">
        <v>2</v>
      </c>
      <c r="J74" s="68" t="s">
        <v>2</v>
      </c>
      <c r="K74" s="68"/>
      <c r="L74" s="67"/>
      <c r="M74" s="68"/>
      <c r="P74" s="68"/>
    </row>
    <row r="75" spans="1:17" s="69" customFormat="1" ht="18" customHeight="1" x14ac:dyDescent="0.2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7"/>
      <c r="M75" s="68"/>
      <c r="P75" s="68"/>
    </row>
    <row r="76" spans="1:17" s="69" customFormat="1" ht="18" customHeight="1" x14ac:dyDescent="0.2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7"/>
      <c r="M76" s="68"/>
      <c r="P76" s="68"/>
    </row>
    <row r="77" spans="1:17" s="69" customFormat="1" ht="18" customHeight="1" x14ac:dyDescent="0.2">
      <c r="A77" s="68"/>
      <c r="B77" s="68"/>
      <c r="C77" s="68"/>
      <c r="D77" s="68"/>
      <c r="E77" s="68"/>
      <c r="F77" s="68"/>
      <c r="H77" s="68"/>
      <c r="I77" s="68"/>
      <c r="J77" s="68"/>
      <c r="K77" s="68"/>
      <c r="L77" s="67"/>
      <c r="M77" s="68"/>
      <c r="P77" s="68"/>
    </row>
    <row r="78" spans="1:17" s="69" customFormat="1" ht="18" customHeight="1" x14ac:dyDescent="0.2">
      <c r="A78" s="68"/>
      <c r="B78" s="109" t="s">
        <v>53</v>
      </c>
      <c r="C78" s="109"/>
      <c r="D78" s="68"/>
      <c r="E78" s="109"/>
      <c r="F78" s="68"/>
      <c r="G78" s="109"/>
      <c r="H78" s="68"/>
      <c r="I78" s="109" t="s">
        <v>2</v>
      </c>
      <c r="J78" s="109" t="str">
        <f>J33</f>
        <v>Dr. Ir. Selamat Muslimin, S.T., M.Kom.</v>
      </c>
      <c r="K78" s="68"/>
      <c r="L78" s="67"/>
      <c r="M78" s="68"/>
      <c r="P78" s="68"/>
    </row>
    <row r="79" spans="1:17" s="69" customFormat="1" ht="18" customHeight="1" x14ac:dyDescent="0.2">
      <c r="A79" s="68"/>
      <c r="B79" s="68" t="s">
        <v>54</v>
      </c>
      <c r="C79" s="68"/>
      <c r="D79" s="68"/>
      <c r="E79" s="68"/>
      <c r="F79" s="68"/>
      <c r="G79" s="68"/>
      <c r="H79" s="68"/>
      <c r="I79" s="68"/>
      <c r="J79" s="73" t="str">
        <f>J34</f>
        <v xml:space="preserve">NIP </v>
      </c>
      <c r="K79" s="68" t="str">
        <f>K34</f>
        <v>197907222008011007</v>
      </c>
      <c r="L79" s="67"/>
      <c r="M79" s="68"/>
      <c r="P79" s="68"/>
    </row>
    <row r="80" spans="1:17" s="69" customFormat="1" ht="18" customHeight="1" x14ac:dyDescent="0.2">
      <c r="A80" s="68"/>
      <c r="B80" s="68"/>
      <c r="C80" s="68"/>
      <c r="D80" s="68"/>
      <c r="E80" s="68"/>
      <c r="F80" s="109"/>
      <c r="G80" s="68"/>
      <c r="H80" s="68"/>
      <c r="I80" s="68"/>
      <c r="J80" s="68"/>
      <c r="K80" s="109"/>
      <c r="L80" s="67"/>
      <c r="M80" s="68"/>
      <c r="P80" s="68"/>
    </row>
    <row r="81" spans="1:17" s="69" customFormat="1" ht="18" customHeight="1" x14ac:dyDescent="0.2">
      <c r="A81" s="68"/>
      <c r="B81" s="68"/>
      <c r="C81" s="68"/>
      <c r="D81" s="68"/>
      <c r="E81" s="68"/>
      <c r="F81" s="109"/>
      <c r="G81" s="68" t="s">
        <v>83</v>
      </c>
      <c r="H81" s="68"/>
      <c r="I81" s="68"/>
      <c r="J81" s="68"/>
      <c r="K81" s="109"/>
      <c r="L81" s="67"/>
      <c r="M81" s="68"/>
      <c r="P81" s="68"/>
    </row>
    <row r="82" spans="1:17" s="69" customFormat="1" ht="18" customHeight="1" x14ac:dyDescent="0.2">
      <c r="A82" s="68"/>
      <c r="B82" s="68"/>
      <c r="C82" s="68"/>
      <c r="D82" s="68"/>
      <c r="E82" s="68"/>
      <c r="F82" s="109"/>
      <c r="G82" s="68" t="s">
        <v>84</v>
      </c>
      <c r="H82" s="68"/>
      <c r="I82" s="68"/>
      <c r="J82" s="68"/>
      <c r="K82" s="109"/>
      <c r="L82" s="67"/>
      <c r="M82" s="68"/>
      <c r="P82" s="68"/>
    </row>
    <row r="83" spans="1:17" s="69" customFormat="1" ht="18" customHeight="1" x14ac:dyDescent="0.2">
      <c r="A83" s="68"/>
      <c r="B83" s="68"/>
      <c r="C83" s="68"/>
      <c r="D83" s="68"/>
      <c r="E83" s="68"/>
      <c r="F83" s="109"/>
      <c r="G83" s="68" t="s">
        <v>2</v>
      </c>
      <c r="H83" s="68"/>
      <c r="I83" s="68"/>
      <c r="J83" s="68"/>
      <c r="K83" s="109"/>
      <c r="L83" s="67"/>
      <c r="M83" s="68"/>
      <c r="P83" s="68"/>
    </row>
    <row r="84" spans="1:17" s="69" customFormat="1" ht="18" customHeight="1" x14ac:dyDescent="0.2">
      <c r="A84" s="68"/>
      <c r="B84" s="68"/>
      <c r="C84" s="68"/>
      <c r="D84" s="68"/>
      <c r="E84" s="68"/>
      <c r="F84" s="109"/>
      <c r="G84" s="68"/>
      <c r="H84" s="68"/>
      <c r="I84" s="68"/>
      <c r="J84" s="68"/>
      <c r="K84" s="109"/>
      <c r="L84" s="67"/>
      <c r="M84" s="68"/>
      <c r="P84" s="68"/>
    </row>
    <row r="85" spans="1:17" s="69" customFormat="1" ht="18" customHeight="1" x14ac:dyDescent="0.2">
      <c r="A85" s="68"/>
      <c r="B85" s="68"/>
      <c r="C85" s="68"/>
      <c r="D85" s="68"/>
      <c r="E85" s="68"/>
      <c r="F85" s="109"/>
      <c r="G85" s="68"/>
      <c r="H85" s="68"/>
      <c r="I85" s="68"/>
      <c r="J85" s="68"/>
      <c r="K85" s="109"/>
      <c r="L85" s="67"/>
      <c r="M85" s="68"/>
      <c r="P85" s="68"/>
    </row>
    <row r="86" spans="1:17" s="69" customFormat="1" ht="18" customHeight="1" x14ac:dyDescent="0.2">
      <c r="A86" s="68"/>
      <c r="B86" s="68"/>
      <c r="C86" s="68"/>
      <c r="D86" s="68"/>
      <c r="E86" s="68"/>
      <c r="F86" s="109"/>
      <c r="G86" s="68"/>
      <c r="H86" s="68"/>
      <c r="I86" s="68"/>
      <c r="J86" s="68"/>
      <c r="K86" s="109"/>
      <c r="L86" s="67"/>
      <c r="M86" s="68"/>
      <c r="P86" s="68"/>
    </row>
    <row r="87" spans="1:17" s="69" customFormat="1" ht="18" customHeight="1" x14ac:dyDescent="0.2">
      <c r="A87" s="68"/>
      <c r="B87" s="68"/>
      <c r="C87" s="68"/>
      <c r="D87" s="68"/>
      <c r="E87" s="68"/>
      <c r="F87" s="109"/>
      <c r="G87" s="109" t="str">
        <f>G50</f>
        <v>Dodi Oktavianto, S.E.</v>
      </c>
      <c r="H87" s="109"/>
      <c r="I87" s="109"/>
      <c r="J87" s="68"/>
      <c r="K87" s="109"/>
      <c r="L87" s="67"/>
      <c r="M87" s="68"/>
      <c r="P87" s="68"/>
    </row>
    <row r="88" spans="1:17" s="69" customFormat="1" ht="18" customHeight="1" x14ac:dyDescent="0.2">
      <c r="A88" s="68"/>
      <c r="B88" s="68"/>
      <c r="C88" s="68"/>
      <c r="D88" s="68"/>
      <c r="E88" s="68"/>
      <c r="F88" s="109"/>
      <c r="G88" s="68" t="str">
        <f>G51</f>
        <v>NIP. 197810032008101001</v>
      </c>
      <c r="H88" s="68"/>
      <c r="I88" s="68"/>
      <c r="J88" s="68"/>
      <c r="K88" s="109"/>
      <c r="L88" s="67"/>
      <c r="M88" s="68"/>
      <c r="P88" s="68"/>
    </row>
    <row r="89" spans="1:17" s="69" customFormat="1" ht="18" customHeight="1" x14ac:dyDescent="0.2">
      <c r="A89" s="68"/>
      <c r="B89" s="68"/>
      <c r="C89" s="68"/>
      <c r="D89" s="68"/>
      <c r="E89" s="68"/>
      <c r="F89" s="109"/>
      <c r="G89" s="73"/>
      <c r="H89" s="73"/>
      <c r="I89" s="73"/>
      <c r="J89" s="68"/>
      <c r="K89" s="109"/>
      <c r="L89" s="67"/>
      <c r="M89" s="68"/>
      <c r="P89" s="68"/>
    </row>
    <row r="91" spans="1:17" ht="18" customHeight="1" x14ac:dyDescent="0.2">
      <c r="A91" s="265" t="s">
        <v>35</v>
      </c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Q91" s="68"/>
    </row>
    <row r="92" spans="1:17" ht="18" customHeight="1" x14ac:dyDescent="0.2">
      <c r="B92" s="70"/>
      <c r="C92" s="70"/>
      <c r="D92" s="70"/>
      <c r="E92" s="70"/>
      <c r="F92" s="70"/>
      <c r="G92" s="71"/>
      <c r="H92" s="71"/>
      <c r="J92" s="71"/>
      <c r="K92" s="70"/>
      <c r="Q92" s="68"/>
    </row>
    <row r="93" spans="1:17" ht="18" customHeight="1" x14ac:dyDescent="0.2">
      <c r="B93" s="72" t="s">
        <v>36</v>
      </c>
      <c r="C93" s="72"/>
      <c r="D93" s="72"/>
      <c r="E93" s="72"/>
      <c r="F93" s="72"/>
      <c r="H93" s="71" t="s">
        <v>37</v>
      </c>
      <c r="I93" s="73" t="s">
        <v>38</v>
      </c>
      <c r="J93" s="73"/>
      <c r="K93" s="71"/>
      <c r="N93" s="69" t="s">
        <v>2</v>
      </c>
      <c r="Q93" s="68"/>
    </row>
    <row r="94" spans="1:17" ht="18" customHeight="1" x14ac:dyDescent="0.2">
      <c r="B94" s="72" t="s">
        <v>39</v>
      </c>
      <c r="C94" s="72"/>
      <c r="D94" s="72"/>
      <c r="E94" s="72"/>
      <c r="F94" s="72"/>
      <c r="H94" s="74" t="s">
        <v>37</v>
      </c>
      <c r="I94" s="75" t="s">
        <v>207</v>
      </c>
      <c r="J94" s="74"/>
      <c r="Q94" s="68"/>
    </row>
    <row r="95" spans="1:17" ht="18" customHeight="1" x14ac:dyDescent="0.2">
      <c r="H95" s="72"/>
      <c r="I95" s="72"/>
      <c r="J95" s="73"/>
      <c r="K95" s="76"/>
      <c r="Q95" s="68"/>
    </row>
    <row r="96" spans="1:17" ht="18" customHeight="1" thickBot="1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8"/>
      <c r="Q96" s="68"/>
    </row>
    <row r="97" spans="1:17" s="69" customFormat="1" ht="18" customHeight="1" x14ac:dyDescent="0.2">
      <c r="A97" s="79" t="s">
        <v>2</v>
      </c>
      <c r="B97" s="79"/>
      <c r="C97" s="71"/>
      <c r="D97" s="71"/>
      <c r="E97" s="71"/>
      <c r="F97" s="71"/>
      <c r="G97" s="71"/>
      <c r="H97" s="80"/>
      <c r="I97" s="81"/>
      <c r="J97" s="82"/>
      <c r="K97" s="83" t="s">
        <v>2</v>
      </c>
      <c r="L97" s="67"/>
      <c r="M97" s="68"/>
      <c r="P97" s="68"/>
    </row>
    <row r="98" spans="1:17" s="69" customFormat="1" ht="18" customHeight="1" x14ac:dyDescent="0.2">
      <c r="A98" s="79" t="s">
        <v>40</v>
      </c>
      <c r="B98" s="266" t="s">
        <v>41</v>
      </c>
      <c r="C98" s="267"/>
      <c r="D98" s="267"/>
      <c r="E98" s="267"/>
      <c r="F98" s="267"/>
      <c r="G98" s="268"/>
      <c r="H98" s="266" t="s">
        <v>42</v>
      </c>
      <c r="I98" s="268"/>
      <c r="J98" s="266" t="s">
        <v>43</v>
      </c>
      <c r="K98" s="268"/>
      <c r="L98" s="67"/>
      <c r="M98" s="68"/>
      <c r="P98" s="68"/>
    </row>
    <row r="99" spans="1:17" s="69" customFormat="1" ht="18" customHeight="1" thickBot="1" x14ac:dyDescent="0.25">
      <c r="A99" s="84"/>
      <c r="B99" s="84"/>
      <c r="C99" s="77"/>
      <c r="D99" s="77"/>
      <c r="E99" s="77"/>
      <c r="F99" s="77"/>
      <c r="G99" s="77"/>
      <c r="H99" s="84" t="s">
        <v>2</v>
      </c>
      <c r="I99" s="85"/>
      <c r="J99" s="86"/>
      <c r="K99" s="87" t="s">
        <v>2</v>
      </c>
      <c r="L99" s="67"/>
      <c r="M99" s="68"/>
      <c r="P99" s="68"/>
    </row>
    <row r="100" spans="1:17" s="69" customFormat="1" ht="18" customHeight="1" x14ac:dyDescent="0.2">
      <c r="A100" s="88"/>
      <c r="B100" s="89"/>
      <c r="C100" s="68"/>
      <c r="D100" s="68"/>
      <c r="E100" s="68"/>
      <c r="F100" s="68"/>
      <c r="G100" s="68"/>
      <c r="H100" s="90"/>
      <c r="I100" s="68"/>
      <c r="J100" s="89"/>
      <c r="K100" s="83"/>
      <c r="L100" s="67"/>
      <c r="M100" s="68"/>
      <c r="P100" s="68"/>
    </row>
    <row r="101" spans="1:17" s="244" customFormat="1" ht="22.5" customHeight="1" x14ac:dyDescent="0.2">
      <c r="A101" s="91">
        <v>1</v>
      </c>
      <c r="B101" s="236" t="s">
        <v>187</v>
      </c>
      <c r="C101" s="237"/>
      <c r="D101" s="238"/>
      <c r="E101" s="94"/>
      <c r="F101" s="238"/>
      <c r="G101" s="95"/>
      <c r="H101" s="239" t="s">
        <v>44</v>
      </c>
      <c r="I101" s="240">
        <f>2*530000</f>
        <v>1060000</v>
      </c>
      <c r="J101" s="239"/>
      <c r="K101" s="241"/>
      <c r="L101" s="242"/>
      <c r="M101" s="243"/>
      <c r="N101" s="243"/>
      <c r="P101" s="238"/>
    </row>
    <row r="102" spans="1:17" s="244" customFormat="1" ht="20.100000000000001" customHeight="1" x14ac:dyDescent="0.2">
      <c r="A102" s="91">
        <v>2</v>
      </c>
      <c r="B102" s="236" t="s">
        <v>186</v>
      </c>
      <c r="C102" s="237"/>
      <c r="D102" s="238"/>
      <c r="E102" s="94"/>
      <c r="F102" s="238"/>
      <c r="G102" s="95"/>
      <c r="H102" s="239" t="s">
        <v>44</v>
      </c>
      <c r="I102" s="245">
        <v>2529207</v>
      </c>
      <c r="J102" s="239"/>
      <c r="K102" s="241"/>
      <c r="L102" s="246"/>
      <c r="M102" s="243"/>
      <c r="N102" s="238"/>
    </row>
    <row r="103" spans="1:17" s="244" customFormat="1" ht="20.100000000000001" hidden="1" customHeight="1" x14ac:dyDescent="0.2">
      <c r="A103" s="91">
        <v>3</v>
      </c>
      <c r="B103" s="236" t="s">
        <v>45</v>
      </c>
      <c r="C103" s="237"/>
      <c r="D103" s="238"/>
      <c r="E103" s="94"/>
      <c r="F103" s="238"/>
      <c r="G103" s="95"/>
      <c r="H103" s="239" t="s">
        <v>44</v>
      </c>
      <c r="I103" s="240"/>
      <c r="J103" s="239"/>
      <c r="K103" s="241"/>
      <c r="L103" s="246"/>
      <c r="N103" s="238"/>
    </row>
    <row r="104" spans="1:17" s="244" customFormat="1" ht="20.100000000000001" customHeight="1" x14ac:dyDescent="0.2">
      <c r="A104" s="91">
        <v>3</v>
      </c>
      <c r="B104" s="236" t="s">
        <v>46</v>
      </c>
      <c r="C104" s="237"/>
      <c r="D104" s="238"/>
      <c r="E104" s="94"/>
      <c r="F104" s="238"/>
      <c r="G104" s="95"/>
      <c r="H104" s="239" t="s">
        <v>44</v>
      </c>
      <c r="I104" s="247">
        <v>288000</v>
      </c>
      <c r="J104" s="238"/>
      <c r="K104" s="248"/>
      <c r="L104" s="242"/>
      <c r="N104" s="238"/>
    </row>
    <row r="105" spans="1:17" s="244" customFormat="1" ht="20.100000000000001" hidden="1" customHeight="1" x14ac:dyDescent="0.2">
      <c r="A105" s="91">
        <v>5</v>
      </c>
      <c r="B105" s="236" t="s">
        <v>152</v>
      </c>
      <c r="C105" s="237"/>
      <c r="D105" s="238"/>
      <c r="E105" s="94"/>
      <c r="F105" s="238"/>
      <c r="G105" s="95"/>
      <c r="H105" s="239" t="s">
        <v>44</v>
      </c>
      <c r="I105" s="247"/>
      <c r="J105" s="238"/>
      <c r="K105" s="248"/>
      <c r="L105" s="242"/>
      <c r="N105" s="238"/>
    </row>
    <row r="106" spans="1:17" s="69" customFormat="1" ht="18" customHeight="1" thickBot="1" x14ac:dyDescent="0.25">
      <c r="A106" s="97"/>
      <c r="B106" s="84"/>
      <c r="C106" s="77"/>
      <c r="D106" s="77"/>
      <c r="E106" s="77"/>
      <c r="F106" s="77"/>
      <c r="G106" s="77"/>
      <c r="H106" s="84"/>
      <c r="I106" s="98"/>
      <c r="J106" s="99"/>
      <c r="K106" s="100"/>
      <c r="L106" s="101"/>
      <c r="M106" s="102"/>
      <c r="N106" s="68"/>
      <c r="O106" s="102"/>
    </row>
    <row r="107" spans="1:17" s="69" customFormat="1" ht="18" customHeight="1" thickBot="1" x14ac:dyDescent="0.25">
      <c r="A107" s="103"/>
      <c r="B107" s="86"/>
      <c r="C107" s="104"/>
      <c r="D107" s="104"/>
      <c r="E107" s="104"/>
      <c r="F107" s="104"/>
      <c r="G107" s="104"/>
      <c r="H107" s="105" t="s">
        <v>44</v>
      </c>
      <c r="I107" s="106">
        <f>SUM(I101:I104)</f>
        <v>3877207</v>
      </c>
      <c r="J107" s="107"/>
      <c r="K107" s="108"/>
      <c r="L107" s="101"/>
      <c r="M107" s="102"/>
      <c r="N107" s="68"/>
      <c r="O107" s="102"/>
    </row>
    <row r="108" spans="1:17" ht="18" customHeight="1" x14ac:dyDescent="0.2">
      <c r="A108" s="89"/>
      <c r="B108" s="109" t="s">
        <v>47</v>
      </c>
      <c r="C108" s="109"/>
      <c r="D108" s="111" t="str">
        <f>[1]!terbilang(I107,4,"rupiah,-")</f>
        <v>Tiga juta delapan ratus tujuh puluh tujuh ribu dua ratus tujuh rupiah,-</v>
      </c>
      <c r="E108" s="111"/>
      <c r="F108" s="111"/>
      <c r="G108" s="111"/>
      <c r="H108" s="111"/>
      <c r="I108" s="111"/>
      <c r="J108" s="111"/>
      <c r="K108" s="112"/>
      <c r="L108" s="68"/>
      <c r="N108" s="68"/>
      <c r="O108" s="68"/>
      <c r="Q108" s="68"/>
    </row>
    <row r="109" spans="1:17" ht="18" customHeight="1" thickBot="1" x14ac:dyDescent="0.25">
      <c r="A109" s="84"/>
      <c r="B109" s="77"/>
      <c r="C109" s="77"/>
      <c r="D109" s="77"/>
      <c r="E109" s="77"/>
      <c r="F109" s="77"/>
      <c r="G109" s="77"/>
      <c r="H109" s="77"/>
      <c r="I109" s="77"/>
      <c r="J109" s="77"/>
      <c r="K109" s="100"/>
      <c r="L109" s="68"/>
      <c r="N109" s="68"/>
      <c r="O109" s="68"/>
      <c r="Q109" s="68"/>
    </row>
    <row r="110" spans="1:17" ht="18" customHeight="1" x14ac:dyDescent="0.2">
      <c r="H110" s="113"/>
      <c r="I110" s="113"/>
      <c r="J110" s="113"/>
      <c r="K110" s="113"/>
      <c r="L110" s="68"/>
      <c r="N110" s="68"/>
      <c r="O110" s="68"/>
      <c r="Q110" s="68"/>
    </row>
    <row r="111" spans="1:17" ht="18" customHeight="1" x14ac:dyDescent="0.2">
      <c r="H111" s="73" t="s">
        <v>208</v>
      </c>
      <c r="J111" s="114"/>
      <c r="L111" s="68"/>
      <c r="N111" s="68"/>
      <c r="O111" s="68"/>
      <c r="Q111" s="68"/>
    </row>
    <row r="112" spans="1:17" ht="18" customHeight="1" x14ac:dyDescent="0.2">
      <c r="B112" s="68" t="s">
        <v>48</v>
      </c>
      <c r="H112" s="68" t="s">
        <v>49</v>
      </c>
      <c r="L112" s="68"/>
      <c r="N112" s="68"/>
      <c r="O112" s="68"/>
      <c r="Q112" s="68"/>
    </row>
    <row r="113" spans="1:17" ht="18" customHeight="1" x14ac:dyDescent="0.2">
      <c r="B113" s="72" t="s">
        <v>44</v>
      </c>
      <c r="C113" s="115">
        <f>I107</f>
        <v>3877207</v>
      </c>
      <c r="D113" s="116" t="s">
        <v>50</v>
      </c>
      <c r="H113" s="109" t="s">
        <v>44</v>
      </c>
      <c r="I113" s="117">
        <f>I107</f>
        <v>3877207</v>
      </c>
      <c r="J113" s="68" t="s">
        <v>50</v>
      </c>
      <c r="K113" s="68" t="s">
        <v>2</v>
      </c>
      <c r="L113" s="68"/>
      <c r="N113" s="68"/>
      <c r="O113" s="68"/>
      <c r="Q113" s="68"/>
    </row>
    <row r="114" spans="1:17" ht="18" customHeight="1" x14ac:dyDescent="0.2">
      <c r="H114" s="269" t="str">
        <f>[1]!terbilang(I113,4,"rupiah,-")</f>
        <v>Tiga juta delapan ratus tujuh puluh tujuh ribu dua ratus tujuh rupiah,-</v>
      </c>
      <c r="I114" s="269"/>
      <c r="J114" s="269"/>
      <c r="K114" s="269"/>
      <c r="L114" s="68"/>
      <c r="N114" s="68"/>
      <c r="O114" s="68"/>
      <c r="Q114" s="68"/>
    </row>
    <row r="115" spans="1:17" ht="18" customHeight="1" x14ac:dyDescent="0.2">
      <c r="H115" s="269"/>
      <c r="I115" s="269"/>
      <c r="J115" s="269"/>
      <c r="K115" s="269"/>
      <c r="L115" s="68"/>
      <c r="N115" s="68"/>
      <c r="O115" s="68"/>
      <c r="Q115" s="68"/>
    </row>
    <row r="118" spans="1:17" ht="18" customHeight="1" x14ac:dyDescent="0.2">
      <c r="B118" s="68" t="s">
        <v>51</v>
      </c>
      <c r="J118" s="68" t="s">
        <v>52</v>
      </c>
      <c r="L118" s="68"/>
      <c r="N118" s="68"/>
      <c r="O118" s="68"/>
      <c r="Q118" s="68"/>
    </row>
    <row r="122" spans="1:17" ht="18" customHeight="1" x14ac:dyDescent="0.2">
      <c r="B122" s="109" t="s">
        <v>53</v>
      </c>
      <c r="C122" s="109"/>
      <c r="D122" s="109"/>
      <c r="E122" s="109"/>
      <c r="F122" s="109"/>
      <c r="G122" s="109"/>
      <c r="H122" s="109"/>
      <c r="J122" s="109" t="str">
        <f>'SPD (2)'!E63</f>
        <v>Prof. Dr. Ir. Rusdianasari, M.Si.</v>
      </c>
      <c r="K122" s="109"/>
      <c r="L122" s="68"/>
      <c r="N122" s="68"/>
      <c r="O122" s="68"/>
      <c r="Q122" s="68"/>
    </row>
    <row r="123" spans="1:17" ht="18" customHeight="1" x14ac:dyDescent="0.2">
      <c r="B123" s="68" t="s">
        <v>54</v>
      </c>
      <c r="J123" s="68" t="s">
        <v>55</v>
      </c>
      <c r="K123" s="68" t="str">
        <f>'Nominatif Format Baru'!C14</f>
        <v>196711191993032003</v>
      </c>
      <c r="L123" s="68"/>
      <c r="N123" s="68"/>
      <c r="O123" s="68"/>
      <c r="Q123" s="68"/>
    </row>
    <row r="124" spans="1:17" ht="18" customHeight="1" thickBot="1" x14ac:dyDescent="0.2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68"/>
      <c r="N124" s="68"/>
      <c r="O124" s="68"/>
      <c r="Q124" s="68"/>
    </row>
    <row r="126" spans="1:17" ht="18" customHeight="1" x14ac:dyDescent="0.2">
      <c r="B126" s="265" t="s">
        <v>56</v>
      </c>
      <c r="C126" s="265"/>
      <c r="D126" s="265"/>
      <c r="E126" s="265"/>
      <c r="F126" s="265"/>
      <c r="G126" s="265"/>
      <c r="H126" s="265"/>
      <c r="I126" s="265"/>
      <c r="J126" s="265"/>
      <c r="K126" s="265"/>
      <c r="L126" s="68"/>
      <c r="N126" s="68"/>
      <c r="O126" s="68"/>
      <c r="Q126" s="68"/>
    </row>
    <row r="127" spans="1:17" ht="18" customHeight="1" x14ac:dyDescent="0.2"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68"/>
      <c r="N127" s="68"/>
      <c r="O127" s="68"/>
      <c r="Q127" s="68"/>
    </row>
    <row r="129" spans="1:17" ht="18" customHeight="1" x14ac:dyDescent="0.2">
      <c r="B129" s="68" t="s">
        <v>57</v>
      </c>
      <c r="E129" s="109" t="s">
        <v>37</v>
      </c>
      <c r="F129" s="115"/>
      <c r="G129" s="120">
        <f>C113</f>
        <v>3877207</v>
      </c>
      <c r="H129" s="120" t="s">
        <v>50</v>
      </c>
      <c r="L129" s="68"/>
      <c r="N129" s="68"/>
      <c r="O129" s="68"/>
      <c r="Q129" s="68"/>
    </row>
    <row r="130" spans="1:17" ht="18" customHeight="1" thickBot="1" x14ac:dyDescent="0.25">
      <c r="B130" s="68" t="s">
        <v>58</v>
      </c>
      <c r="E130" s="109" t="s">
        <v>37</v>
      </c>
      <c r="F130" s="121"/>
      <c r="G130" s="122">
        <f>I113</f>
        <v>3877207</v>
      </c>
      <c r="H130" s="122" t="s">
        <v>50</v>
      </c>
      <c r="L130" s="68"/>
      <c r="N130" s="68"/>
      <c r="O130" s="68"/>
      <c r="Q130" s="68"/>
    </row>
    <row r="131" spans="1:17" ht="18" customHeight="1" x14ac:dyDescent="0.2">
      <c r="B131" s="68" t="s">
        <v>59</v>
      </c>
      <c r="E131" s="109" t="s">
        <v>37</v>
      </c>
      <c r="F131" s="70"/>
      <c r="G131" s="70" t="s">
        <v>60</v>
      </c>
      <c r="H131" s="123" t="s">
        <v>61</v>
      </c>
      <c r="L131" s="68"/>
      <c r="N131" s="68"/>
      <c r="O131" s="68"/>
      <c r="Q131" s="68"/>
    </row>
    <row r="134" spans="1:17" ht="18" customHeight="1" x14ac:dyDescent="0.2">
      <c r="G134" s="73" t="s">
        <v>62</v>
      </c>
      <c r="H134" s="73"/>
      <c r="I134" s="73"/>
      <c r="L134" s="68"/>
      <c r="N134" s="68"/>
      <c r="O134" s="68"/>
      <c r="Q134" s="68"/>
    </row>
    <row r="139" spans="1:17" ht="18" customHeight="1" x14ac:dyDescent="0.2">
      <c r="G139" s="109" t="s">
        <v>63</v>
      </c>
      <c r="H139" s="109"/>
      <c r="I139" s="109"/>
      <c r="J139" s="124"/>
      <c r="L139" s="68"/>
      <c r="N139" s="68"/>
      <c r="O139" s="68"/>
      <c r="Q139" s="68"/>
    </row>
    <row r="140" spans="1:17" ht="18" customHeight="1" x14ac:dyDescent="0.2">
      <c r="G140" s="270" t="s">
        <v>64</v>
      </c>
      <c r="H140" s="270"/>
      <c r="I140" s="270"/>
      <c r="J140" s="109"/>
      <c r="L140" s="68"/>
      <c r="N140" s="68"/>
      <c r="O140" s="68"/>
      <c r="Q140" s="68"/>
    </row>
    <row r="142" spans="1:17" ht="18" customHeight="1" x14ac:dyDescent="0.2">
      <c r="A142" s="68" t="s">
        <v>2</v>
      </c>
      <c r="I142" s="68" t="s">
        <v>65</v>
      </c>
      <c r="K142" s="68" t="s">
        <v>66</v>
      </c>
      <c r="L142" s="68"/>
      <c r="N142" s="68"/>
      <c r="O142" s="68"/>
      <c r="Q142" s="68"/>
    </row>
    <row r="143" spans="1:17" ht="18" customHeight="1" x14ac:dyDescent="0.2">
      <c r="I143" s="68" t="s">
        <v>67</v>
      </c>
      <c r="K143" s="68" t="s">
        <v>66</v>
      </c>
      <c r="L143" s="68"/>
      <c r="N143" s="68"/>
      <c r="O143" s="68"/>
      <c r="Q143" s="68"/>
    </row>
    <row r="144" spans="1:17" ht="18" customHeight="1" x14ac:dyDescent="0.2">
      <c r="I144" s="68" t="s">
        <v>68</v>
      </c>
      <c r="K144" s="68" t="s">
        <v>69</v>
      </c>
      <c r="L144" s="68"/>
      <c r="N144" s="68"/>
      <c r="O144" s="68"/>
      <c r="Q144" s="68"/>
    </row>
    <row r="147" spans="1:17" ht="18" customHeight="1" x14ac:dyDescent="0.2">
      <c r="A147" s="265" t="s">
        <v>70</v>
      </c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68"/>
      <c r="N147" s="68"/>
      <c r="O147" s="68"/>
      <c r="Q147" s="68"/>
    </row>
    <row r="150" spans="1:17" ht="18" customHeight="1" x14ac:dyDescent="0.2">
      <c r="B150" s="68" t="s">
        <v>71</v>
      </c>
      <c r="E150" s="68" t="s">
        <v>37</v>
      </c>
      <c r="F150" s="68" t="s">
        <v>72</v>
      </c>
      <c r="L150" s="68"/>
      <c r="N150" s="68"/>
      <c r="O150" s="68"/>
      <c r="Q150" s="68"/>
    </row>
    <row r="151" spans="1:17" ht="18" customHeight="1" x14ac:dyDescent="0.2">
      <c r="B151" s="68" t="s">
        <v>73</v>
      </c>
      <c r="E151" s="68" t="s">
        <v>37</v>
      </c>
      <c r="F151" s="68" t="s">
        <v>44</v>
      </c>
      <c r="G151" s="115">
        <f>I107</f>
        <v>3877207</v>
      </c>
      <c r="H151" s="125" t="s">
        <v>50</v>
      </c>
      <c r="L151" s="68"/>
      <c r="N151" s="68"/>
      <c r="O151" s="68"/>
      <c r="Q151" s="68"/>
    </row>
    <row r="152" spans="1:17" ht="18" customHeight="1" x14ac:dyDescent="0.2">
      <c r="B152" s="68" t="s">
        <v>74</v>
      </c>
      <c r="E152" s="68" t="s">
        <v>37</v>
      </c>
      <c r="F152" s="68" t="s">
        <v>75</v>
      </c>
      <c r="L152" s="68"/>
      <c r="N152" s="68"/>
      <c r="O152" s="68"/>
      <c r="Q152" s="68"/>
    </row>
    <row r="153" spans="1:17" ht="18" customHeight="1" x14ac:dyDescent="0.2">
      <c r="B153" s="68" t="s">
        <v>76</v>
      </c>
      <c r="E153" s="68" t="s">
        <v>37</v>
      </c>
      <c r="F153" s="68" t="s">
        <v>77</v>
      </c>
      <c r="L153" s="68"/>
      <c r="N153" s="68"/>
      <c r="O153" s="68"/>
      <c r="Q153" s="68"/>
    </row>
    <row r="154" spans="1:17" ht="18" customHeight="1" x14ac:dyDescent="0.2">
      <c r="B154" s="68" t="s">
        <v>78</v>
      </c>
      <c r="E154" s="68" t="s">
        <v>37</v>
      </c>
      <c r="F154" s="68" t="s">
        <v>38</v>
      </c>
      <c r="L154" s="68"/>
      <c r="N154" s="68"/>
      <c r="O154" s="68"/>
      <c r="Q154" s="68"/>
    </row>
    <row r="155" spans="1:17" ht="18" customHeight="1" x14ac:dyDescent="0.2">
      <c r="B155" s="68" t="s">
        <v>79</v>
      </c>
      <c r="E155" s="68" t="s">
        <v>37</v>
      </c>
      <c r="F155" s="114" t="str">
        <f>I94</f>
        <v>15 Januari 2026</v>
      </c>
      <c r="L155" s="68"/>
      <c r="N155" s="68"/>
      <c r="O155" s="68"/>
      <c r="Q155" s="68"/>
    </row>
    <row r="156" spans="1:17" ht="18" customHeight="1" x14ac:dyDescent="0.2">
      <c r="B156" s="68" t="s">
        <v>80</v>
      </c>
      <c r="E156" s="68" t="s">
        <v>37</v>
      </c>
      <c r="F156" s="68" t="s">
        <v>188</v>
      </c>
      <c r="L156" s="68"/>
      <c r="N156" s="68"/>
      <c r="O156" s="68"/>
      <c r="Q156" s="68"/>
    </row>
    <row r="157" spans="1:17" ht="18" customHeight="1" x14ac:dyDescent="0.2">
      <c r="B157" s="68" t="s">
        <v>81</v>
      </c>
      <c r="E157" s="68" t="s">
        <v>37</v>
      </c>
      <c r="F157" s="269" t="str">
        <f>[1]!terbilang(G151,4,"rupiah,-")</f>
        <v>Tiga juta delapan ratus tujuh puluh tujuh ribu dua ratus tujuh rupiah,-</v>
      </c>
      <c r="G157" s="269"/>
      <c r="H157" s="269"/>
      <c r="I157" s="269"/>
      <c r="J157" s="269"/>
      <c r="K157" s="269"/>
      <c r="L157" s="68"/>
      <c r="N157" s="68"/>
      <c r="O157" s="68"/>
      <c r="Q157" s="68"/>
    </row>
    <row r="158" spans="1:17" ht="18" customHeight="1" x14ac:dyDescent="0.2">
      <c r="F158" s="269"/>
      <c r="G158" s="269"/>
      <c r="H158" s="269"/>
      <c r="I158" s="269"/>
      <c r="J158" s="269"/>
      <c r="K158" s="269"/>
      <c r="L158" s="68"/>
      <c r="N158" s="68"/>
      <c r="O158" s="68"/>
      <c r="Q158" s="68"/>
    </row>
    <row r="161" spans="2:17" ht="18" customHeight="1" x14ac:dyDescent="0.2">
      <c r="B161" s="68" t="s">
        <v>82</v>
      </c>
      <c r="I161" s="68" t="s">
        <v>2</v>
      </c>
      <c r="J161" s="68" t="str">
        <f>H111</f>
        <v>Palembang, 15 Januari 2026</v>
      </c>
      <c r="L161" s="68"/>
      <c r="N161" s="68"/>
      <c r="O161" s="68"/>
      <c r="Q161" s="68"/>
    </row>
    <row r="162" spans="2:17" ht="18" customHeight="1" x14ac:dyDescent="0.2">
      <c r="B162" s="68" t="s">
        <v>51</v>
      </c>
      <c r="J162" s="68" t="s">
        <v>52</v>
      </c>
      <c r="L162" s="68"/>
      <c r="N162" s="68"/>
      <c r="O162" s="68"/>
      <c r="Q162" s="68"/>
    </row>
    <row r="163" spans="2:17" ht="18" customHeight="1" x14ac:dyDescent="0.2">
      <c r="H163" s="68" t="s">
        <v>2</v>
      </c>
      <c r="I163" s="68" t="s">
        <v>2</v>
      </c>
      <c r="J163" s="68" t="s">
        <v>2</v>
      </c>
      <c r="L163" s="68"/>
      <c r="N163" s="68"/>
      <c r="O163" s="68"/>
      <c r="Q163" s="68"/>
    </row>
    <row r="166" spans="2:17" ht="18" customHeight="1" x14ac:dyDescent="0.2">
      <c r="G166" s="69"/>
      <c r="L166" s="68"/>
      <c r="N166" s="68"/>
      <c r="O166" s="68"/>
      <c r="Q166" s="68"/>
    </row>
    <row r="167" spans="2:17" ht="18" customHeight="1" x14ac:dyDescent="0.2">
      <c r="B167" s="109" t="s">
        <v>53</v>
      </c>
      <c r="C167" s="109"/>
      <c r="E167" s="109"/>
      <c r="G167" s="109"/>
      <c r="I167" s="109" t="s">
        <v>2</v>
      </c>
      <c r="J167" s="109" t="str">
        <f>J122</f>
        <v>Prof. Dr. Ir. Rusdianasari, M.Si.</v>
      </c>
      <c r="L167" s="68"/>
      <c r="N167" s="68"/>
      <c r="O167" s="68"/>
      <c r="Q167" s="68"/>
    </row>
    <row r="168" spans="2:17" ht="18" customHeight="1" x14ac:dyDescent="0.2">
      <c r="B168" s="68" t="s">
        <v>54</v>
      </c>
      <c r="J168" s="68" t="str">
        <f>J123</f>
        <v xml:space="preserve">NIP </v>
      </c>
      <c r="K168" s="68" t="str">
        <f>K123</f>
        <v>196711191993032003</v>
      </c>
      <c r="L168" s="68"/>
      <c r="N168" s="68"/>
      <c r="O168" s="68"/>
      <c r="Q168" s="68"/>
    </row>
    <row r="169" spans="2:17" ht="18" customHeight="1" x14ac:dyDescent="0.2">
      <c r="F169" s="109"/>
      <c r="K169" s="109"/>
      <c r="L169" s="68"/>
      <c r="N169" s="68"/>
      <c r="O169" s="68"/>
      <c r="Q169" s="68"/>
    </row>
    <row r="170" spans="2:17" ht="18" customHeight="1" x14ac:dyDescent="0.2">
      <c r="F170" s="109"/>
      <c r="G170" s="68" t="s">
        <v>83</v>
      </c>
      <c r="K170" s="109"/>
      <c r="L170" s="68"/>
      <c r="N170" s="68"/>
      <c r="O170" s="68"/>
      <c r="Q170" s="68"/>
    </row>
    <row r="171" spans="2:17" ht="18" customHeight="1" x14ac:dyDescent="0.2">
      <c r="F171" s="109"/>
      <c r="G171" s="68" t="s">
        <v>84</v>
      </c>
      <c r="K171" s="109"/>
      <c r="L171" s="68"/>
      <c r="N171" s="68"/>
      <c r="O171" s="68"/>
      <c r="Q171" s="68"/>
    </row>
    <row r="172" spans="2:17" ht="18" customHeight="1" x14ac:dyDescent="0.2">
      <c r="F172" s="109"/>
      <c r="G172" s="68" t="s">
        <v>2</v>
      </c>
      <c r="K172" s="109"/>
      <c r="L172" s="68"/>
      <c r="N172" s="68"/>
      <c r="O172" s="68"/>
      <c r="Q172" s="68"/>
    </row>
    <row r="173" spans="2:17" ht="18" customHeight="1" x14ac:dyDescent="0.2">
      <c r="F173" s="109"/>
      <c r="K173" s="109"/>
      <c r="L173" s="68"/>
      <c r="N173" s="68"/>
      <c r="O173" s="68"/>
      <c r="Q173" s="68"/>
    </row>
    <row r="174" spans="2:17" ht="18" customHeight="1" x14ac:dyDescent="0.2">
      <c r="F174" s="109"/>
      <c r="K174" s="109"/>
      <c r="L174" s="68"/>
      <c r="N174" s="68"/>
      <c r="O174" s="68"/>
      <c r="Q174" s="68"/>
    </row>
    <row r="175" spans="2:17" ht="18" customHeight="1" x14ac:dyDescent="0.2">
      <c r="F175" s="109"/>
      <c r="K175" s="109"/>
      <c r="L175" s="68"/>
      <c r="N175" s="68"/>
      <c r="O175" s="68"/>
      <c r="Q175" s="68"/>
    </row>
    <row r="176" spans="2:17" ht="18" customHeight="1" x14ac:dyDescent="0.2">
      <c r="F176" s="109"/>
      <c r="G176" s="109" t="str">
        <f>G139</f>
        <v>Dodi Oktavianto, S.E.</v>
      </c>
      <c r="H176" s="109"/>
      <c r="I176" s="109"/>
      <c r="K176" s="109"/>
      <c r="L176" s="68"/>
      <c r="N176" s="68"/>
      <c r="O176" s="68"/>
      <c r="Q176" s="68"/>
    </row>
    <row r="177" spans="6:17" ht="18" customHeight="1" x14ac:dyDescent="0.2">
      <c r="F177" s="109"/>
      <c r="G177" s="68" t="str">
        <f>G140</f>
        <v>NIP. 197810032008101001</v>
      </c>
      <c r="K177" s="109"/>
      <c r="L177" s="68"/>
      <c r="N177" s="68"/>
      <c r="O177" s="68"/>
      <c r="Q177" s="68"/>
    </row>
    <row r="178" spans="6:17" ht="18" customHeight="1" x14ac:dyDescent="0.2">
      <c r="F178" s="109"/>
      <c r="G178" s="73"/>
      <c r="H178" s="73"/>
      <c r="I178" s="73"/>
      <c r="K178" s="109"/>
      <c r="L178" s="68"/>
      <c r="N178" s="68"/>
      <c r="O178" s="68"/>
      <c r="Q178" s="68"/>
    </row>
  </sheetData>
  <mergeCells count="18">
    <mergeCell ref="H114:K115"/>
    <mergeCell ref="B126:K126"/>
    <mergeCell ref="G140:I140"/>
    <mergeCell ref="A147:K147"/>
    <mergeCell ref="F157:K158"/>
    <mergeCell ref="G51:I51"/>
    <mergeCell ref="A58:K58"/>
    <mergeCell ref="F68:K69"/>
    <mergeCell ref="A91:K91"/>
    <mergeCell ref="B98:G98"/>
    <mergeCell ref="H98:I98"/>
    <mergeCell ref="J98:K98"/>
    <mergeCell ref="B37:K37"/>
    <mergeCell ref="A1:K1"/>
    <mergeCell ref="B8:G8"/>
    <mergeCell ref="H8:I8"/>
    <mergeCell ref="J8:K8"/>
    <mergeCell ref="H25:K26"/>
  </mergeCells>
  <printOptions horizontalCentered="1"/>
  <pageMargins left="0.31496062992125984" right="0" top="0.94488188976377963" bottom="0.74803149606299213" header="0.31496062992125984" footer="0.31496062992125984"/>
  <pageSetup paperSize="9" scale="72" fitToHeight="0" orientation="portrait" horizontalDpi="360" verticalDpi="360" r:id="rId1"/>
  <rowBreaks count="3" manualBreakCount="3">
    <brk id="52" max="16383" man="1"/>
    <brk id="90" max="16383" man="1"/>
    <brk id="141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9"/>
  <sheetViews>
    <sheetView topLeftCell="A145" zoomScale="90" zoomScaleNormal="100" workbookViewId="0">
      <selection activeCell="N115" sqref="N115"/>
    </sheetView>
  </sheetViews>
  <sheetFormatPr defaultColWidth="9.140625" defaultRowHeight="15" x14ac:dyDescent="0.2"/>
  <cols>
    <col min="1" max="1" width="4.7109375" style="68" customWidth="1"/>
    <col min="2" max="2" width="4.85546875" style="68" customWidth="1"/>
    <col min="3" max="3" width="17.85546875" style="68" customWidth="1"/>
    <col min="4" max="4" width="11.5703125" style="68" customWidth="1"/>
    <col min="5" max="5" width="2.140625" style="68" customWidth="1"/>
    <col min="6" max="6" width="4" style="68" customWidth="1"/>
    <col min="7" max="7" width="18.28515625" style="68" customWidth="1"/>
    <col min="8" max="8" width="6.7109375" style="68" customWidth="1"/>
    <col min="9" max="9" width="17.5703125" style="68" customWidth="1"/>
    <col min="10" max="10" width="4.42578125" style="68" customWidth="1"/>
    <col min="11" max="11" width="42.28515625" style="68" customWidth="1"/>
    <col min="12" max="12" width="17.140625" style="67" customWidth="1"/>
    <col min="13" max="13" width="14.28515625" style="68" bestFit="1" customWidth="1"/>
    <col min="14" max="14" width="13.85546875" style="69" bestFit="1" customWidth="1"/>
    <col min="15" max="15" width="12.28515625" style="69" customWidth="1"/>
    <col min="16" max="16" width="9.140625" style="68"/>
    <col min="17" max="17" width="10.28515625" style="69" bestFit="1" customWidth="1"/>
    <col min="18" max="16384" width="9.140625" style="68"/>
  </cols>
  <sheetData>
    <row r="1" spans="1:16" s="69" customFormat="1" ht="18" customHeight="1" x14ac:dyDescent="0.3">
      <c r="A1" s="265" t="s">
        <v>35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67"/>
      <c r="M1" s="68"/>
      <c r="P1" s="68"/>
    </row>
    <row r="2" spans="1:16" s="69" customFormat="1" ht="18" customHeight="1" x14ac:dyDescent="0.3">
      <c r="A2" s="68"/>
      <c r="B2" s="70"/>
      <c r="C2" s="70"/>
      <c r="D2" s="70"/>
      <c r="E2" s="70"/>
      <c r="F2" s="70"/>
      <c r="G2" s="71"/>
      <c r="H2" s="71"/>
      <c r="I2" s="68"/>
      <c r="J2" s="71"/>
      <c r="K2" s="70"/>
      <c r="L2" s="67"/>
      <c r="M2" s="68"/>
      <c r="P2" s="68"/>
    </row>
    <row r="3" spans="1:16" s="69" customFormat="1" ht="18" customHeight="1" x14ac:dyDescent="0.3">
      <c r="A3" s="68"/>
      <c r="B3" s="72" t="s">
        <v>36</v>
      </c>
      <c r="C3" s="72"/>
      <c r="D3" s="72"/>
      <c r="E3" s="72"/>
      <c r="F3" s="72"/>
      <c r="G3" s="68"/>
      <c r="H3" s="71" t="s">
        <v>37</v>
      </c>
      <c r="I3" s="73" t="s">
        <v>38</v>
      </c>
      <c r="J3" s="73"/>
      <c r="K3" s="71"/>
      <c r="L3" s="67"/>
      <c r="M3" s="68"/>
      <c r="P3" s="68"/>
    </row>
    <row r="4" spans="1:16" s="69" customFormat="1" ht="18" customHeight="1" x14ac:dyDescent="0.2">
      <c r="A4" s="68"/>
      <c r="B4" s="72" t="s">
        <v>39</v>
      </c>
      <c r="C4" s="72"/>
      <c r="D4" s="72"/>
      <c r="E4" s="72"/>
      <c r="F4" s="72"/>
      <c r="G4" s="68"/>
      <c r="H4" s="74" t="s">
        <v>37</v>
      </c>
      <c r="I4" s="75" t="s">
        <v>207</v>
      </c>
      <c r="J4" s="74"/>
      <c r="K4" s="68"/>
      <c r="L4" s="67"/>
      <c r="M4" s="68"/>
      <c r="P4" s="68"/>
    </row>
    <row r="5" spans="1:16" s="69" customFormat="1" ht="18" customHeight="1" x14ac:dyDescent="0.3">
      <c r="A5" s="68"/>
      <c r="B5" s="68"/>
      <c r="C5" s="68"/>
      <c r="D5" s="68"/>
      <c r="E5" s="68"/>
      <c r="F5" s="68"/>
      <c r="G5" s="68"/>
      <c r="H5" s="72"/>
      <c r="I5" s="72"/>
      <c r="J5" s="73"/>
      <c r="K5" s="76"/>
      <c r="L5" s="67"/>
      <c r="M5" s="68"/>
      <c r="P5" s="68"/>
    </row>
    <row r="6" spans="1:16" s="69" customFormat="1" ht="18" customHeight="1" thickBot="1" x14ac:dyDescent="0.35">
      <c r="A6" s="77"/>
      <c r="B6" s="77"/>
      <c r="C6" s="77"/>
      <c r="D6" s="77"/>
      <c r="E6" s="77"/>
      <c r="F6" s="77"/>
      <c r="G6" s="77"/>
      <c r="H6" s="77"/>
      <c r="I6" s="77"/>
      <c r="J6" s="77"/>
      <c r="K6" s="78"/>
      <c r="L6" s="67"/>
      <c r="M6" s="68"/>
      <c r="P6" s="68"/>
    </row>
    <row r="7" spans="1:16" s="69" customFormat="1" ht="18" customHeight="1" x14ac:dyDescent="0.3">
      <c r="A7" s="79" t="s">
        <v>2</v>
      </c>
      <c r="B7" s="79"/>
      <c r="C7" s="71"/>
      <c r="D7" s="71"/>
      <c r="E7" s="71"/>
      <c r="F7" s="71"/>
      <c r="G7" s="71"/>
      <c r="H7" s="80"/>
      <c r="I7" s="81"/>
      <c r="J7" s="82"/>
      <c r="K7" s="83" t="s">
        <v>2</v>
      </c>
      <c r="L7" s="67"/>
      <c r="M7" s="68"/>
      <c r="P7" s="68"/>
    </row>
    <row r="8" spans="1:16" s="69" customFormat="1" ht="18" customHeight="1" x14ac:dyDescent="0.3">
      <c r="A8" s="79" t="s">
        <v>40</v>
      </c>
      <c r="B8" s="266" t="s">
        <v>41</v>
      </c>
      <c r="C8" s="267"/>
      <c r="D8" s="267"/>
      <c r="E8" s="267"/>
      <c r="F8" s="267"/>
      <c r="G8" s="268"/>
      <c r="H8" s="266" t="s">
        <v>42</v>
      </c>
      <c r="I8" s="268"/>
      <c r="J8" s="266" t="s">
        <v>43</v>
      </c>
      <c r="K8" s="268"/>
      <c r="L8" s="67"/>
      <c r="M8" s="68"/>
      <c r="P8" s="68"/>
    </row>
    <row r="9" spans="1:16" s="69" customFormat="1" ht="18" customHeight="1" thickBot="1" x14ac:dyDescent="0.35">
      <c r="A9" s="84"/>
      <c r="B9" s="84"/>
      <c r="C9" s="77"/>
      <c r="D9" s="77"/>
      <c r="E9" s="77"/>
      <c r="F9" s="77"/>
      <c r="G9" s="77"/>
      <c r="H9" s="84" t="s">
        <v>2</v>
      </c>
      <c r="I9" s="85"/>
      <c r="J9" s="86"/>
      <c r="K9" s="87" t="s">
        <v>2</v>
      </c>
      <c r="L9" s="67"/>
      <c r="M9" s="68"/>
      <c r="P9" s="68"/>
    </row>
    <row r="10" spans="1:16" s="69" customFormat="1" ht="18" customHeight="1" x14ac:dyDescent="0.2">
      <c r="A10" s="88"/>
      <c r="B10" s="89"/>
      <c r="C10" s="68"/>
      <c r="D10" s="68"/>
      <c r="E10" s="68"/>
      <c r="F10" s="68"/>
      <c r="G10" s="68"/>
      <c r="H10" s="90"/>
      <c r="I10" s="68"/>
      <c r="J10" s="89"/>
      <c r="K10" s="83"/>
      <c r="L10" s="67"/>
      <c r="M10" s="68"/>
      <c r="P10" s="68"/>
    </row>
    <row r="11" spans="1:16" s="244" customFormat="1" ht="22.5" customHeight="1" x14ac:dyDescent="0.2">
      <c r="A11" s="91">
        <v>1</v>
      </c>
      <c r="B11" s="236" t="s">
        <v>187</v>
      </c>
      <c r="C11" s="237"/>
      <c r="D11" s="238"/>
      <c r="E11" s="94"/>
      <c r="F11" s="238"/>
      <c r="G11" s="95"/>
      <c r="H11" s="239" t="s">
        <v>44</v>
      </c>
      <c r="I11" s="240">
        <f>2*530000</f>
        <v>1060000</v>
      </c>
      <c r="J11" s="239"/>
      <c r="K11" s="241"/>
      <c r="L11" s="242"/>
      <c r="M11" s="243"/>
      <c r="N11" s="243"/>
      <c r="O11" s="244" t="s">
        <v>5</v>
      </c>
      <c r="P11" s="238"/>
    </row>
    <row r="12" spans="1:16" s="244" customFormat="1" ht="20.100000000000001" customHeight="1" x14ac:dyDescent="0.2">
      <c r="A12" s="91">
        <v>2</v>
      </c>
      <c r="B12" s="236" t="s">
        <v>186</v>
      </c>
      <c r="C12" s="237"/>
      <c r="D12" s="238"/>
      <c r="E12" s="94"/>
      <c r="F12" s="238"/>
      <c r="G12" s="95"/>
      <c r="H12" s="239" t="s">
        <v>44</v>
      </c>
      <c r="I12" s="245">
        <v>2529207</v>
      </c>
      <c r="J12" s="239"/>
      <c r="K12" s="241"/>
      <c r="L12" s="246"/>
      <c r="M12" s="243"/>
      <c r="N12" s="238"/>
    </row>
    <row r="13" spans="1:16" s="244" customFormat="1" ht="20.100000000000001" customHeight="1" x14ac:dyDescent="0.2">
      <c r="A13" s="91">
        <v>3</v>
      </c>
      <c r="B13" s="236" t="s">
        <v>45</v>
      </c>
      <c r="C13" s="237"/>
      <c r="D13" s="238"/>
      <c r="E13" s="94"/>
      <c r="F13" s="238"/>
      <c r="G13" s="95"/>
      <c r="H13" s="239" t="s">
        <v>44</v>
      </c>
      <c r="I13" s="240">
        <v>1350928</v>
      </c>
      <c r="J13" s="239"/>
      <c r="K13" s="241"/>
      <c r="L13" s="246"/>
      <c r="N13" s="238"/>
    </row>
    <row r="14" spans="1:16" s="244" customFormat="1" ht="20.100000000000001" customHeight="1" x14ac:dyDescent="0.2">
      <c r="A14" s="91">
        <v>4</v>
      </c>
      <c r="B14" s="236" t="s">
        <v>46</v>
      </c>
      <c r="C14" s="237"/>
      <c r="D14" s="238"/>
      <c r="E14" s="94"/>
      <c r="F14" s="238"/>
      <c r="G14" s="95"/>
      <c r="H14" s="239" t="s">
        <v>44</v>
      </c>
      <c r="I14" s="247">
        <v>221000</v>
      </c>
      <c r="J14" s="238"/>
      <c r="K14" s="248"/>
      <c r="L14" s="242"/>
      <c r="N14" s="238"/>
    </row>
    <row r="15" spans="1:16" s="244" customFormat="1" ht="20.100000000000001" hidden="1" customHeight="1" x14ac:dyDescent="0.2">
      <c r="A15" s="91">
        <v>5</v>
      </c>
      <c r="B15" s="236" t="s">
        <v>152</v>
      </c>
      <c r="C15" s="237"/>
      <c r="D15" s="238"/>
      <c r="E15" s="94"/>
      <c r="F15" s="238"/>
      <c r="G15" s="95"/>
      <c r="H15" s="239" t="s">
        <v>44</v>
      </c>
      <c r="I15" s="247"/>
      <c r="J15" s="238"/>
      <c r="K15" s="248"/>
      <c r="L15" s="242"/>
      <c r="N15" s="238"/>
    </row>
    <row r="16" spans="1:16" s="69" customFormat="1" ht="18" customHeight="1" thickBot="1" x14ac:dyDescent="0.25">
      <c r="A16" s="97"/>
      <c r="B16" s="84"/>
      <c r="C16" s="77"/>
      <c r="D16" s="77"/>
      <c r="E16" s="77"/>
      <c r="F16" s="77"/>
      <c r="G16" s="77"/>
      <c r="H16" s="84"/>
      <c r="I16" s="98"/>
      <c r="J16" s="99"/>
      <c r="K16" s="100"/>
      <c r="L16" s="101"/>
      <c r="M16" s="102"/>
      <c r="N16" s="68"/>
      <c r="O16" s="102"/>
    </row>
    <row r="17" spans="1:17" s="69" customFormat="1" ht="18" customHeight="1" thickBot="1" x14ac:dyDescent="0.35">
      <c r="A17" s="103"/>
      <c r="B17" s="86"/>
      <c r="C17" s="104"/>
      <c r="D17" s="104"/>
      <c r="E17" s="104"/>
      <c r="F17" s="104"/>
      <c r="G17" s="104"/>
      <c r="H17" s="105" t="s">
        <v>44</v>
      </c>
      <c r="I17" s="106">
        <f>SUM(I11:I16)</f>
        <v>5161135</v>
      </c>
      <c r="J17" s="107"/>
      <c r="K17" s="108"/>
      <c r="L17" s="101"/>
      <c r="M17" s="102"/>
      <c r="N17" s="68"/>
      <c r="O17" s="102"/>
    </row>
    <row r="18" spans="1:17" s="69" customFormat="1" ht="18" customHeight="1" x14ac:dyDescent="0.3">
      <c r="A18" s="89"/>
      <c r="B18" s="68"/>
      <c r="C18" s="68"/>
      <c r="D18" s="68"/>
      <c r="E18" s="68"/>
      <c r="F18" s="68"/>
      <c r="G18" s="68"/>
      <c r="H18" s="109"/>
      <c r="I18" s="109"/>
      <c r="J18" s="109"/>
      <c r="K18" s="110"/>
      <c r="L18" s="101"/>
      <c r="M18" s="68"/>
      <c r="N18" s="102"/>
      <c r="O18" s="102"/>
      <c r="P18" s="102"/>
      <c r="Q18" s="102"/>
    </row>
    <row r="19" spans="1:17" s="69" customFormat="1" ht="18" customHeight="1" x14ac:dyDescent="0.3">
      <c r="A19" s="89"/>
      <c r="B19" s="109" t="s">
        <v>47</v>
      </c>
      <c r="C19" s="109"/>
      <c r="D19" s="111" t="str">
        <f>[1]!terbilang(I17,4,"rupiah,-")</f>
        <v>Lima juta seratus enam puluh satu ribu seratus tiga puluh lima rupiah,-</v>
      </c>
      <c r="E19" s="111"/>
      <c r="F19" s="111"/>
      <c r="G19" s="111"/>
      <c r="H19" s="111"/>
      <c r="I19" s="111"/>
      <c r="J19" s="111"/>
      <c r="K19" s="112"/>
      <c r="L19" s="101"/>
      <c r="M19" s="68"/>
      <c r="N19" s="102"/>
      <c r="O19" s="102"/>
      <c r="P19" s="68"/>
      <c r="Q19" s="102"/>
    </row>
    <row r="20" spans="1:17" s="69" customFormat="1" ht="18" customHeight="1" thickBot="1" x14ac:dyDescent="0.35">
      <c r="A20" s="84"/>
      <c r="B20" s="77"/>
      <c r="C20" s="77"/>
      <c r="D20" s="77"/>
      <c r="E20" s="77"/>
      <c r="F20" s="77"/>
      <c r="G20" s="77"/>
      <c r="H20" s="77"/>
      <c r="I20" s="77"/>
      <c r="J20" s="77"/>
      <c r="K20" s="100"/>
      <c r="L20" s="101"/>
      <c r="M20" s="68"/>
      <c r="N20" s="102"/>
      <c r="O20" s="102"/>
      <c r="P20" s="68"/>
      <c r="Q20" s="102"/>
    </row>
    <row r="21" spans="1:17" s="69" customFormat="1" ht="18" customHeight="1" x14ac:dyDescent="0.3">
      <c r="A21" s="68"/>
      <c r="B21" s="68"/>
      <c r="C21" s="68"/>
      <c r="D21" s="68"/>
      <c r="E21" s="68"/>
      <c r="F21" s="68"/>
      <c r="G21" s="68"/>
      <c r="H21" s="113"/>
      <c r="I21" s="113"/>
      <c r="J21" s="113"/>
      <c r="K21" s="113"/>
      <c r="L21" s="67"/>
      <c r="M21" s="68"/>
      <c r="N21" s="102"/>
      <c r="O21" s="102"/>
      <c r="P21" s="68"/>
      <c r="Q21" s="102"/>
    </row>
    <row r="22" spans="1:17" s="69" customFormat="1" ht="18" customHeight="1" x14ac:dyDescent="0.2">
      <c r="A22" s="68"/>
      <c r="B22" s="68"/>
      <c r="C22" s="68"/>
      <c r="D22" s="68"/>
      <c r="E22" s="68"/>
      <c r="F22" s="68"/>
      <c r="G22" s="68"/>
      <c r="H22" s="73" t="s">
        <v>208</v>
      </c>
      <c r="I22" s="68"/>
      <c r="J22" s="114"/>
      <c r="K22" s="68"/>
      <c r="L22" s="67"/>
      <c r="M22" s="68"/>
      <c r="N22" s="102"/>
      <c r="O22" s="102"/>
      <c r="P22" s="68"/>
      <c r="Q22" s="102"/>
    </row>
    <row r="23" spans="1:17" s="69" customFormat="1" ht="18" customHeight="1" x14ac:dyDescent="0.2">
      <c r="A23" s="68"/>
      <c r="B23" s="68" t="s">
        <v>48</v>
      </c>
      <c r="C23" s="68"/>
      <c r="D23" s="68"/>
      <c r="E23" s="68"/>
      <c r="F23" s="68"/>
      <c r="G23" s="68"/>
      <c r="H23" s="68" t="s">
        <v>49</v>
      </c>
      <c r="I23" s="68"/>
      <c r="J23" s="68"/>
      <c r="K23" s="68"/>
      <c r="L23" s="67"/>
      <c r="M23" s="68"/>
      <c r="N23" s="102"/>
      <c r="O23" s="102"/>
      <c r="P23" s="68"/>
      <c r="Q23" s="102"/>
    </row>
    <row r="24" spans="1:17" s="69" customFormat="1" ht="18" customHeight="1" x14ac:dyDescent="0.2">
      <c r="A24" s="68"/>
      <c r="B24" s="72" t="s">
        <v>44</v>
      </c>
      <c r="C24" s="115">
        <f>I17</f>
        <v>5161135</v>
      </c>
      <c r="D24" s="116" t="s">
        <v>50</v>
      </c>
      <c r="E24" s="68"/>
      <c r="F24" s="68"/>
      <c r="G24" s="68"/>
      <c r="H24" s="109" t="s">
        <v>44</v>
      </c>
      <c r="I24" s="117">
        <f>I17</f>
        <v>5161135</v>
      </c>
      <c r="J24" s="68" t="s">
        <v>50</v>
      </c>
      <c r="K24" s="68" t="s">
        <v>2</v>
      </c>
      <c r="L24" s="67"/>
      <c r="M24" s="68"/>
      <c r="N24" s="102"/>
      <c r="O24" s="102"/>
      <c r="P24" s="68"/>
      <c r="Q24" s="102"/>
    </row>
    <row r="25" spans="1:17" s="69" customFormat="1" ht="18" customHeight="1" x14ac:dyDescent="0.2">
      <c r="A25" s="68"/>
      <c r="B25" s="68"/>
      <c r="C25" s="68"/>
      <c r="D25" s="68"/>
      <c r="E25" s="68"/>
      <c r="F25" s="68"/>
      <c r="G25" s="68"/>
      <c r="H25" s="269" t="str">
        <f>[1]!terbilang(I24,4,"rupiah,-")</f>
        <v>Lima juta seratus enam puluh satu ribu seratus tiga puluh lima rupiah,-</v>
      </c>
      <c r="I25" s="269"/>
      <c r="J25" s="269"/>
      <c r="K25" s="269"/>
      <c r="L25" s="67"/>
      <c r="M25" s="68"/>
      <c r="N25" s="102"/>
      <c r="O25" s="102"/>
      <c r="P25" s="68"/>
      <c r="Q25" s="102"/>
    </row>
    <row r="26" spans="1:17" s="69" customFormat="1" ht="18" customHeight="1" x14ac:dyDescent="0.2">
      <c r="A26" s="68"/>
      <c r="B26" s="68"/>
      <c r="C26" s="68"/>
      <c r="D26" s="68"/>
      <c r="E26" s="68"/>
      <c r="F26" s="68"/>
      <c r="G26" s="68"/>
      <c r="H26" s="269"/>
      <c r="I26" s="269"/>
      <c r="J26" s="269"/>
      <c r="K26" s="269"/>
      <c r="L26" s="67" t="s">
        <v>2</v>
      </c>
      <c r="M26" s="68"/>
      <c r="N26" s="102"/>
      <c r="O26" s="102"/>
      <c r="P26" s="68"/>
      <c r="Q26" s="102"/>
    </row>
    <row r="27" spans="1:17" ht="18" customHeight="1" x14ac:dyDescent="0.2">
      <c r="I27" s="68" t="s">
        <v>5</v>
      </c>
      <c r="N27" s="102"/>
      <c r="O27" s="102"/>
      <c r="Q27" s="102"/>
    </row>
    <row r="28" spans="1:17" ht="18" customHeight="1" x14ac:dyDescent="0.2">
      <c r="N28" s="102"/>
      <c r="O28" s="102"/>
      <c r="Q28" s="102"/>
    </row>
    <row r="29" spans="1:17" s="69" customFormat="1" ht="18" customHeight="1" x14ac:dyDescent="0.2">
      <c r="A29" s="68"/>
      <c r="B29" s="68" t="s">
        <v>51</v>
      </c>
      <c r="C29" s="68"/>
      <c r="D29" s="68"/>
      <c r="E29" s="68"/>
      <c r="F29" s="68"/>
      <c r="G29" s="68"/>
      <c r="H29" s="68"/>
      <c r="I29" s="68"/>
      <c r="J29" s="68" t="s">
        <v>52</v>
      </c>
      <c r="K29" s="68"/>
      <c r="L29" s="67"/>
      <c r="M29" s="68"/>
      <c r="N29" s="102"/>
      <c r="O29" s="102"/>
      <c r="P29" s="68"/>
      <c r="Q29" s="102"/>
    </row>
    <row r="30" spans="1:17" ht="18" customHeight="1" x14ac:dyDescent="0.2">
      <c r="N30" s="102"/>
      <c r="O30" s="102"/>
      <c r="Q30" s="102"/>
    </row>
    <row r="31" spans="1:17" ht="18" customHeight="1" x14ac:dyDescent="0.2">
      <c r="N31" s="102"/>
      <c r="O31" s="102"/>
      <c r="Q31" s="102"/>
    </row>
    <row r="32" spans="1:17" ht="18" customHeight="1" x14ac:dyDescent="0.2">
      <c r="N32" s="102"/>
      <c r="O32" s="102"/>
      <c r="Q32" s="102"/>
    </row>
    <row r="33" spans="1:16" s="69" customFormat="1" ht="18" customHeight="1" x14ac:dyDescent="0.25">
      <c r="A33" s="68"/>
      <c r="B33" s="109" t="s">
        <v>53</v>
      </c>
      <c r="C33" s="109"/>
      <c r="D33" s="109"/>
      <c r="E33" s="109"/>
      <c r="F33" s="109"/>
      <c r="G33" s="109"/>
      <c r="H33" s="109"/>
      <c r="I33" s="68"/>
      <c r="J33" s="127" t="str">
        <f>SPD!E8</f>
        <v>Ir. Irawan Rusnadi, M.T.</v>
      </c>
      <c r="K33" s="109"/>
      <c r="L33" s="67"/>
      <c r="M33" s="109"/>
      <c r="N33" s="109"/>
      <c r="P33" s="68"/>
    </row>
    <row r="34" spans="1:16" s="69" customFormat="1" ht="18" customHeight="1" x14ac:dyDescent="0.2">
      <c r="A34" s="68"/>
      <c r="B34" s="68" t="s">
        <v>54</v>
      </c>
      <c r="C34" s="68"/>
      <c r="D34" s="68"/>
      <c r="E34" s="68"/>
      <c r="F34" s="68"/>
      <c r="G34" s="68"/>
      <c r="H34" s="68"/>
      <c r="I34" s="68"/>
      <c r="J34" s="68" t="s">
        <v>55</v>
      </c>
      <c r="K34" s="118" t="str">
        <f>'Nominatif Format Baru'!C11</f>
        <v>196702021994031004</v>
      </c>
      <c r="L34" s="67"/>
      <c r="M34" s="109"/>
      <c r="N34" s="109"/>
      <c r="P34" s="68"/>
    </row>
    <row r="35" spans="1:16" s="69" customFormat="1" ht="18" customHeight="1" thickBot="1" x14ac:dyDescent="0.2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67"/>
      <c r="M35" s="68"/>
      <c r="P35" s="68"/>
    </row>
    <row r="37" spans="1:16" s="69" customFormat="1" ht="18" customHeight="1" x14ac:dyDescent="0.2">
      <c r="A37" s="68"/>
      <c r="B37" s="265" t="s">
        <v>56</v>
      </c>
      <c r="C37" s="265"/>
      <c r="D37" s="265"/>
      <c r="E37" s="265"/>
      <c r="F37" s="265"/>
      <c r="G37" s="265"/>
      <c r="H37" s="265"/>
      <c r="I37" s="265"/>
      <c r="J37" s="265"/>
      <c r="K37" s="265"/>
      <c r="L37" s="67"/>
      <c r="M37" s="68"/>
      <c r="P37" s="68"/>
    </row>
    <row r="38" spans="1:16" s="69" customFormat="1" ht="18" customHeight="1" x14ac:dyDescent="0.2">
      <c r="A38" s="6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67"/>
      <c r="M38" s="68"/>
      <c r="P38" s="68"/>
    </row>
    <row r="40" spans="1:16" s="69" customFormat="1" ht="18" customHeight="1" x14ac:dyDescent="0.2">
      <c r="A40" s="68"/>
      <c r="B40" s="68" t="s">
        <v>57</v>
      </c>
      <c r="C40" s="68"/>
      <c r="D40" s="68"/>
      <c r="E40" s="109" t="s">
        <v>37</v>
      </c>
      <c r="F40" s="115"/>
      <c r="G40" s="120">
        <f>C24</f>
        <v>5161135</v>
      </c>
      <c r="H40" s="120" t="s">
        <v>50</v>
      </c>
      <c r="I40" s="68"/>
      <c r="J40" s="68"/>
      <c r="K40" s="68"/>
      <c r="L40" s="67"/>
      <c r="M40" s="68"/>
      <c r="P40" s="68"/>
    </row>
    <row r="41" spans="1:16" s="69" customFormat="1" ht="18" customHeight="1" thickBot="1" x14ac:dyDescent="0.25">
      <c r="A41" s="68"/>
      <c r="B41" s="68" t="s">
        <v>58</v>
      </c>
      <c r="C41" s="68"/>
      <c r="D41" s="68"/>
      <c r="E41" s="109" t="s">
        <v>37</v>
      </c>
      <c r="F41" s="121"/>
      <c r="G41" s="122">
        <f>I24</f>
        <v>5161135</v>
      </c>
      <c r="H41" s="122" t="s">
        <v>50</v>
      </c>
      <c r="I41" s="68"/>
      <c r="J41" s="68"/>
      <c r="K41" s="68"/>
      <c r="L41" s="67"/>
      <c r="M41" s="68"/>
      <c r="P41" s="68"/>
    </row>
    <row r="42" spans="1:16" s="69" customFormat="1" ht="18" customHeight="1" x14ac:dyDescent="0.2">
      <c r="A42" s="68"/>
      <c r="B42" s="68" t="s">
        <v>59</v>
      </c>
      <c r="C42" s="68"/>
      <c r="D42" s="68"/>
      <c r="E42" s="109" t="s">
        <v>37</v>
      </c>
      <c r="F42" s="70"/>
      <c r="G42" s="70" t="s">
        <v>60</v>
      </c>
      <c r="H42" s="123" t="s">
        <v>61</v>
      </c>
      <c r="I42" s="68"/>
      <c r="J42" s="68"/>
      <c r="K42" s="68"/>
      <c r="L42" s="67"/>
      <c r="M42" s="68"/>
      <c r="P42" s="68"/>
    </row>
    <row r="45" spans="1:16" s="69" customFormat="1" ht="18" customHeight="1" x14ac:dyDescent="0.2">
      <c r="A45" s="68"/>
      <c r="B45" s="68"/>
      <c r="C45" s="68"/>
      <c r="D45" s="68"/>
      <c r="E45" s="68"/>
      <c r="F45" s="68"/>
      <c r="G45" s="73" t="s">
        <v>62</v>
      </c>
      <c r="H45" s="73"/>
      <c r="I45" s="73"/>
      <c r="J45" s="68"/>
      <c r="K45" s="68"/>
      <c r="L45" s="67"/>
      <c r="M45" s="68"/>
      <c r="P45" s="68"/>
    </row>
    <row r="46" spans="1:16" s="69" customFormat="1" ht="18" customHeight="1" x14ac:dyDescent="0.2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7"/>
      <c r="M46" s="68"/>
      <c r="P46" s="68"/>
    </row>
    <row r="47" spans="1:16" s="69" customFormat="1" ht="18" customHeight="1" x14ac:dyDescent="0.2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7"/>
      <c r="M47" s="68"/>
      <c r="P47" s="68"/>
    </row>
    <row r="48" spans="1:16" s="69" customFormat="1" ht="18" customHeight="1" x14ac:dyDescent="0.2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7"/>
      <c r="M48" s="68"/>
      <c r="P48" s="68"/>
    </row>
    <row r="49" spans="1:17" s="69" customFormat="1" ht="18" customHeight="1" x14ac:dyDescent="0.2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7"/>
      <c r="M49" s="68"/>
      <c r="P49" s="68"/>
    </row>
    <row r="50" spans="1:17" s="69" customFormat="1" ht="18" customHeight="1" x14ac:dyDescent="0.2">
      <c r="A50" s="68"/>
      <c r="B50" s="68"/>
      <c r="C50" s="68"/>
      <c r="D50" s="68"/>
      <c r="E50" s="68"/>
      <c r="F50" s="68"/>
      <c r="G50" s="109" t="s">
        <v>63</v>
      </c>
      <c r="H50" s="109"/>
      <c r="I50" s="109"/>
      <c r="J50" s="124"/>
      <c r="K50" s="68"/>
      <c r="L50" s="67"/>
      <c r="M50" s="68"/>
      <c r="P50" s="68"/>
    </row>
    <row r="51" spans="1:17" s="69" customFormat="1" ht="18" customHeight="1" x14ac:dyDescent="0.2">
      <c r="A51" s="68"/>
      <c r="B51" s="68"/>
      <c r="C51" s="68"/>
      <c r="D51" s="68"/>
      <c r="E51" s="68"/>
      <c r="F51" s="68"/>
      <c r="G51" s="270" t="s">
        <v>64</v>
      </c>
      <c r="H51" s="270"/>
      <c r="I51" s="270"/>
      <c r="J51" s="109"/>
      <c r="K51" s="68"/>
      <c r="L51" s="67"/>
      <c r="M51" s="68"/>
      <c r="P51" s="68"/>
    </row>
    <row r="53" spans="1:17" s="69" customFormat="1" ht="18" customHeight="1" x14ac:dyDescent="0.2">
      <c r="A53" s="68" t="s">
        <v>2</v>
      </c>
      <c r="B53" s="68"/>
      <c r="C53" s="68"/>
      <c r="D53" s="68"/>
      <c r="E53" s="68"/>
      <c r="F53" s="68"/>
      <c r="G53" s="68"/>
      <c r="H53" s="68"/>
      <c r="I53" s="68" t="s">
        <v>65</v>
      </c>
      <c r="J53" s="68"/>
      <c r="K53" s="68" t="s">
        <v>66</v>
      </c>
      <c r="L53" s="67"/>
      <c r="M53" s="68"/>
      <c r="P53" s="68"/>
    </row>
    <row r="54" spans="1:17" s="69" customFormat="1" ht="18" customHeight="1" x14ac:dyDescent="0.2">
      <c r="A54" s="68"/>
      <c r="B54" s="68"/>
      <c r="C54" s="68"/>
      <c r="D54" s="68"/>
      <c r="E54" s="68"/>
      <c r="F54" s="68"/>
      <c r="G54" s="68"/>
      <c r="H54" s="68"/>
      <c r="I54" s="68" t="s">
        <v>67</v>
      </c>
      <c r="J54" s="68"/>
      <c r="K54" s="68" t="s">
        <v>66</v>
      </c>
      <c r="L54" s="67"/>
      <c r="M54" s="68"/>
      <c r="P54" s="68"/>
    </row>
    <row r="55" spans="1:17" s="69" customFormat="1" ht="18" customHeight="1" x14ac:dyDescent="0.2">
      <c r="A55" s="68"/>
      <c r="B55" s="68"/>
      <c r="C55" s="68"/>
      <c r="D55" s="68"/>
      <c r="E55" s="68"/>
      <c r="F55" s="68"/>
      <c r="G55" s="68"/>
      <c r="H55" s="68"/>
      <c r="I55" s="68" t="s">
        <v>68</v>
      </c>
      <c r="J55" s="68"/>
      <c r="K55" s="68" t="s">
        <v>69</v>
      </c>
      <c r="L55" s="67"/>
      <c r="M55" s="68"/>
      <c r="P55" s="68"/>
    </row>
    <row r="58" spans="1:17" s="69" customFormat="1" ht="18" customHeight="1" x14ac:dyDescent="0.2">
      <c r="A58" s="265" t="s">
        <v>70</v>
      </c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67"/>
      <c r="M58" s="68"/>
      <c r="P58" s="68"/>
    </row>
    <row r="61" spans="1:17" s="69" customFormat="1" ht="18" customHeight="1" x14ac:dyDescent="0.2">
      <c r="A61" s="68"/>
      <c r="B61" s="68" t="s">
        <v>71</v>
      </c>
      <c r="C61" s="68"/>
      <c r="D61" s="68"/>
      <c r="E61" s="68" t="s">
        <v>37</v>
      </c>
      <c r="F61" s="68" t="s">
        <v>72</v>
      </c>
      <c r="G61" s="68"/>
      <c r="H61" s="68"/>
      <c r="I61" s="68"/>
      <c r="J61" s="68"/>
      <c r="K61" s="68"/>
      <c r="L61" s="67"/>
      <c r="M61" s="68"/>
      <c r="N61" s="68"/>
      <c r="P61" s="68"/>
      <c r="Q61" s="68"/>
    </row>
    <row r="62" spans="1:17" s="69" customFormat="1" ht="18" customHeight="1" x14ac:dyDescent="0.2">
      <c r="A62" s="68"/>
      <c r="B62" s="68" t="s">
        <v>73</v>
      </c>
      <c r="C62" s="68"/>
      <c r="D62" s="68"/>
      <c r="E62" s="68" t="s">
        <v>37</v>
      </c>
      <c r="F62" s="68" t="s">
        <v>44</v>
      </c>
      <c r="G62" s="115">
        <f>I17</f>
        <v>5161135</v>
      </c>
      <c r="H62" s="125" t="s">
        <v>50</v>
      </c>
      <c r="I62" s="68"/>
      <c r="J62" s="68"/>
      <c r="K62" s="68"/>
      <c r="L62" s="67"/>
      <c r="M62" s="68"/>
      <c r="N62" s="68"/>
      <c r="P62" s="68"/>
      <c r="Q62" s="68"/>
    </row>
    <row r="63" spans="1:17" s="69" customFormat="1" ht="18" customHeight="1" x14ac:dyDescent="0.2">
      <c r="A63" s="68"/>
      <c r="B63" s="68" t="s">
        <v>74</v>
      </c>
      <c r="C63" s="68"/>
      <c r="D63" s="68"/>
      <c r="E63" s="68" t="s">
        <v>37</v>
      </c>
      <c r="F63" s="68" t="s">
        <v>75</v>
      </c>
      <c r="G63" s="68"/>
      <c r="H63" s="68"/>
      <c r="I63" s="68"/>
      <c r="J63" s="68"/>
      <c r="K63" s="68"/>
      <c r="L63" s="67"/>
      <c r="M63" s="68"/>
      <c r="N63" s="68"/>
      <c r="P63" s="68"/>
      <c r="Q63" s="68"/>
    </row>
    <row r="64" spans="1:17" s="69" customFormat="1" ht="18" customHeight="1" x14ac:dyDescent="0.2">
      <c r="A64" s="68"/>
      <c r="B64" s="68" t="s">
        <v>76</v>
      </c>
      <c r="C64" s="68"/>
      <c r="D64" s="68"/>
      <c r="E64" s="68" t="s">
        <v>37</v>
      </c>
      <c r="F64" s="68" t="s">
        <v>77</v>
      </c>
      <c r="G64" s="68"/>
      <c r="H64" s="68"/>
      <c r="I64" s="68"/>
      <c r="J64" s="68"/>
      <c r="K64" s="68"/>
      <c r="L64" s="67"/>
      <c r="M64" s="68"/>
      <c r="N64" s="68"/>
      <c r="P64" s="68"/>
      <c r="Q64" s="68"/>
    </row>
    <row r="65" spans="1:17" s="69" customFormat="1" ht="18" customHeight="1" x14ac:dyDescent="0.2">
      <c r="A65" s="68"/>
      <c r="B65" s="68" t="s">
        <v>78</v>
      </c>
      <c r="C65" s="68"/>
      <c r="D65" s="68"/>
      <c r="E65" s="68" t="s">
        <v>37</v>
      </c>
      <c r="F65" s="68" t="s">
        <v>38</v>
      </c>
      <c r="G65" s="68"/>
      <c r="H65" s="68"/>
      <c r="I65" s="68"/>
      <c r="J65" s="68"/>
      <c r="K65" s="68"/>
      <c r="L65" s="67"/>
      <c r="M65" s="68"/>
      <c r="N65" s="68"/>
      <c r="P65" s="68"/>
      <c r="Q65" s="68"/>
    </row>
    <row r="66" spans="1:17" s="69" customFormat="1" ht="18" customHeight="1" x14ac:dyDescent="0.2">
      <c r="A66" s="68"/>
      <c r="B66" s="68" t="s">
        <v>79</v>
      </c>
      <c r="C66" s="68"/>
      <c r="D66" s="68"/>
      <c r="E66" s="68" t="s">
        <v>37</v>
      </c>
      <c r="F66" s="114" t="str">
        <f>I4</f>
        <v>15 Januari 2026</v>
      </c>
      <c r="G66" s="68"/>
      <c r="H66" s="68"/>
      <c r="I66" s="68"/>
      <c r="J66" s="68"/>
      <c r="K66" s="68"/>
      <c r="L66" s="67"/>
      <c r="M66" s="68"/>
      <c r="N66" s="68"/>
      <c r="P66" s="68"/>
      <c r="Q66" s="68"/>
    </row>
    <row r="67" spans="1:17" s="69" customFormat="1" ht="18" customHeight="1" x14ac:dyDescent="0.2">
      <c r="A67" s="68"/>
      <c r="B67" s="68" t="s">
        <v>80</v>
      </c>
      <c r="C67" s="68"/>
      <c r="D67" s="68"/>
      <c r="E67" s="68" t="s">
        <v>37</v>
      </c>
      <c r="F67" s="68" t="s">
        <v>188</v>
      </c>
      <c r="G67" s="68"/>
      <c r="H67" s="68"/>
      <c r="I67" s="68"/>
      <c r="J67" s="68"/>
      <c r="K67" s="68"/>
      <c r="L67" s="67"/>
      <c r="M67" s="68"/>
      <c r="N67" s="68"/>
      <c r="P67" s="68"/>
      <c r="Q67" s="68"/>
    </row>
    <row r="68" spans="1:17" s="69" customFormat="1" ht="18" customHeight="1" x14ac:dyDescent="0.2">
      <c r="A68" s="68"/>
      <c r="B68" s="68" t="s">
        <v>81</v>
      </c>
      <c r="C68" s="68"/>
      <c r="D68" s="68"/>
      <c r="E68" s="68" t="s">
        <v>37</v>
      </c>
      <c r="F68" s="269" t="str">
        <f>[1]!terbilang(G62,4,"rupiah,-")</f>
        <v>Lima juta seratus enam puluh satu ribu seratus tiga puluh lima rupiah,-</v>
      </c>
      <c r="G68" s="269"/>
      <c r="H68" s="269"/>
      <c r="I68" s="269"/>
      <c r="J68" s="269"/>
      <c r="K68" s="269"/>
      <c r="L68" s="126"/>
      <c r="M68" s="68"/>
      <c r="N68" s="68"/>
      <c r="P68" s="68"/>
      <c r="Q68" s="68"/>
    </row>
    <row r="69" spans="1:17" s="69" customFormat="1" ht="18" customHeight="1" x14ac:dyDescent="0.2">
      <c r="A69" s="68"/>
      <c r="B69" s="68"/>
      <c r="C69" s="68"/>
      <c r="D69" s="68"/>
      <c r="E69" s="68"/>
      <c r="F69" s="269"/>
      <c r="G69" s="269"/>
      <c r="H69" s="269"/>
      <c r="I69" s="269"/>
      <c r="J69" s="269"/>
      <c r="K69" s="269"/>
      <c r="L69" s="67"/>
      <c r="M69" s="68"/>
      <c r="P69" s="68"/>
    </row>
    <row r="72" spans="1:17" s="69" customFormat="1" ht="18" customHeight="1" x14ac:dyDescent="0.2">
      <c r="A72" s="68"/>
      <c r="B72" s="68" t="s">
        <v>82</v>
      </c>
      <c r="C72" s="68"/>
      <c r="D72" s="68"/>
      <c r="E72" s="68"/>
      <c r="F72" s="68"/>
      <c r="G72" s="68"/>
      <c r="H72" s="68"/>
      <c r="I72" s="68" t="s">
        <v>2</v>
      </c>
      <c r="J72" s="68" t="str">
        <f>H22</f>
        <v>Palembang, 15 Januari 2026</v>
      </c>
      <c r="K72" s="68"/>
      <c r="L72" s="67"/>
      <c r="M72" s="68"/>
      <c r="P72" s="68"/>
    </row>
    <row r="73" spans="1:17" s="69" customFormat="1" ht="18" customHeight="1" x14ac:dyDescent="0.2">
      <c r="A73" s="68"/>
      <c r="B73" s="68" t="s">
        <v>51</v>
      </c>
      <c r="C73" s="68"/>
      <c r="D73" s="68"/>
      <c r="E73" s="68"/>
      <c r="F73" s="68"/>
      <c r="G73" s="68"/>
      <c r="H73" s="68"/>
      <c r="I73" s="68"/>
      <c r="J73" s="68" t="s">
        <v>52</v>
      </c>
      <c r="K73" s="68"/>
      <c r="L73" s="67"/>
      <c r="M73" s="68"/>
      <c r="P73" s="68"/>
    </row>
    <row r="74" spans="1:17" s="69" customFormat="1" ht="18" customHeight="1" x14ac:dyDescent="0.2">
      <c r="A74" s="68"/>
      <c r="B74" s="68"/>
      <c r="C74" s="68"/>
      <c r="D74" s="68"/>
      <c r="E74" s="68"/>
      <c r="F74" s="68"/>
      <c r="G74" s="68"/>
      <c r="H74" s="68" t="s">
        <v>2</v>
      </c>
      <c r="I74" s="68" t="s">
        <v>2</v>
      </c>
      <c r="J74" s="68" t="s">
        <v>2</v>
      </c>
      <c r="K74" s="68"/>
      <c r="L74" s="67"/>
      <c r="M74" s="68"/>
      <c r="P74" s="68"/>
    </row>
    <row r="75" spans="1:17" s="69" customFormat="1" ht="18" customHeight="1" x14ac:dyDescent="0.2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7"/>
      <c r="M75" s="68"/>
      <c r="P75" s="68"/>
    </row>
    <row r="76" spans="1:17" s="69" customFormat="1" ht="18" customHeight="1" x14ac:dyDescent="0.2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7"/>
      <c r="M76" s="68"/>
      <c r="P76" s="68"/>
    </row>
    <row r="77" spans="1:17" s="69" customFormat="1" ht="18" customHeight="1" x14ac:dyDescent="0.2">
      <c r="A77" s="68"/>
      <c r="B77" s="68"/>
      <c r="C77" s="68"/>
      <c r="D77" s="68"/>
      <c r="E77" s="68"/>
      <c r="F77" s="68"/>
      <c r="H77" s="68"/>
      <c r="I77" s="68"/>
      <c r="J77" s="68"/>
      <c r="K77" s="68"/>
      <c r="L77" s="67"/>
      <c r="M77" s="68"/>
      <c r="P77" s="68"/>
    </row>
    <row r="78" spans="1:17" s="69" customFormat="1" ht="18" customHeight="1" x14ac:dyDescent="0.2">
      <c r="A78" s="68"/>
      <c r="B78" s="109" t="s">
        <v>53</v>
      </c>
      <c r="C78" s="109"/>
      <c r="D78" s="68"/>
      <c r="E78" s="109"/>
      <c r="F78" s="68"/>
      <c r="G78" s="109"/>
      <c r="H78" s="68"/>
      <c r="I78" s="109" t="s">
        <v>2</v>
      </c>
      <c r="J78" s="109" t="str">
        <f>J33</f>
        <v>Ir. Irawan Rusnadi, M.T.</v>
      </c>
      <c r="K78" s="68"/>
      <c r="L78" s="67"/>
      <c r="M78" s="68"/>
      <c r="P78" s="68"/>
    </row>
    <row r="79" spans="1:17" s="69" customFormat="1" ht="18" customHeight="1" x14ac:dyDescent="0.2">
      <c r="A79" s="68"/>
      <c r="B79" s="68" t="s">
        <v>54</v>
      </c>
      <c r="C79" s="68"/>
      <c r="D79" s="68"/>
      <c r="E79" s="68"/>
      <c r="F79" s="68"/>
      <c r="G79" s="68"/>
      <c r="H79" s="68"/>
      <c r="I79" s="68"/>
      <c r="J79" s="71" t="str">
        <f>J34</f>
        <v xml:space="preserve">NIP </v>
      </c>
      <c r="K79" s="68" t="str">
        <f>K34</f>
        <v>196702021994031004</v>
      </c>
      <c r="L79" s="67"/>
      <c r="M79" s="68"/>
      <c r="P79" s="68"/>
    </row>
    <row r="80" spans="1:17" s="69" customFormat="1" ht="18" customHeight="1" x14ac:dyDescent="0.2">
      <c r="A80" s="68"/>
      <c r="B80" s="68"/>
      <c r="C80" s="68"/>
      <c r="D80" s="68"/>
      <c r="E80" s="68"/>
      <c r="F80" s="109"/>
      <c r="G80" s="68"/>
      <c r="H80" s="68"/>
      <c r="I80" s="68"/>
      <c r="J80" s="68"/>
      <c r="K80" s="109"/>
      <c r="L80" s="67"/>
      <c r="M80" s="68"/>
      <c r="P80" s="68"/>
    </row>
    <row r="81" spans="1:17" s="69" customFormat="1" ht="18" customHeight="1" x14ac:dyDescent="0.2">
      <c r="A81" s="68"/>
      <c r="B81" s="68"/>
      <c r="C81" s="68"/>
      <c r="D81" s="68"/>
      <c r="E81" s="68"/>
      <c r="F81" s="109"/>
      <c r="G81" s="68" t="s">
        <v>83</v>
      </c>
      <c r="H81" s="68"/>
      <c r="I81" s="68"/>
      <c r="J81" s="68"/>
      <c r="K81" s="109"/>
      <c r="L81" s="67"/>
      <c r="M81" s="68"/>
      <c r="P81" s="68"/>
    </row>
    <row r="82" spans="1:17" s="69" customFormat="1" ht="18" customHeight="1" x14ac:dyDescent="0.2">
      <c r="A82" s="68"/>
      <c r="B82" s="68"/>
      <c r="C82" s="68"/>
      <c r="D82" s="68"/>
      <c r="E82" s="68"/>
      <c r="F82" s="109"/>
      <c r="G82" s="68" t="s">
        <v>84</v>
      </c>
      <c r="H82" s="68"/>
      <c r="I82" s="68"/>
      <c r="J82" s="68"/>
      <c r="K82" s="109"/>
      <c r="L82" s="67"/>
      <c r="M82" s="68"/>
      <c r="P82" s="68"/>
    </row>
    <row r="83" spans="1:17" s="69" customFormat="1" ht="18" customHeight="1" x14ac:dyDescent="0.2">
      <c r="A83" s="68"/>
      <c r="B83" s="68"/>
      <c r="C83" s="68"/>
      <c r="D83" s="68"/>
      <c r="E83" s="68"/>
      <c r="F83" s="109"/>
      <c r="G83" s="68" t="s">
        <v>2</v>
      </c>
      <c r="H83" s="68"/>
      <c r="I83" s="68"/>
      <c r="J83" s="68"/>
      <c r="K83" s="109"/>
      <c r="L83" s="67"/>
      <c r="M83" s="68"/>
      <c r="P83" s="68"/>
    </row>
    <row r="84" spans="1:17" s="69" customFormat="1" ht="18" customHeight="1" x14ac:dyDescent="0.2">
      <c r="A84" s="68"/>
      <c r="B84" s="68"/>
      <c r="C84" s="68"/>
      <c r="D84" s="68"/>
      <c r="E84" s="68"/>
      <c r="F84" s="109"/>
      <c r="G84" s="68"/>
      <c r="H84" s="68"/>
      <c r="I84" s="68"/>
      <c r="J84" s="68"/>
      <c r="K84" s="109"/>
      <c r="L84" s="67"/>
      <c r="M84" s="68"/>
      <c r="P84" s="68"/>
    </row>
    <row r="85" spans="1:17" s="69" customFormat="1" ht="18" customHeight="1" x14ac:dyDescent="0.2">
      <c r="A85" s="68"/>
      <c r="B85" s="68"/>
      <c r="C85" s="68"/>
      <c r="D85" s="68"/>
      <c r="E85" s="68"/>
      <c r="F85" s="109"/>
      <c r="G85" s="68"/>
      <c r="H85" s="68"/>
      <c r="I85" s="68"/>
      <c r="J85" s="68"/>
      <c r="K85" s="109"/>
      <c r="L85" s="67"/>
      <c r="M85" s="68"/>
      <c r="P85" s="68"/>
    </row>
    <row r="86" spans="1:17" s="69" customFormat="1" ht="18" customHeight="1" x14ac:dyDescent="0.2">
      <c r="A86" s="68"/>
      <c r="B86" s="68"/>
      <c r="C86" s="68"/>
      <c r="D86" s="68"/>
      <c r="E86" s="68"/>
      <c r="F86" s="109"/>
      <c r="G86" s="68"/>
      <c r="H86" s="68"/>
      <c r="I86" s="68"/>
      <c r="J86" s="68"/>
      <c r="K86" s="109"/>
      <c r="L86" s="67"/>
      <c r="M86" s="68"/>
      <c r="P86" s="68"/>
    </row>
    <row r="87" spans="1:17" s="69" customFormat="1" ht="18" customHeight="1" x14ac:dyDescent="0.2">
      <c r="A87" s="68"/>
      <c r="B87" s="68"/>
      <c r="C87" s="68"/>
      <c r="D87" s="68"/>
      <c r="E87" s="68"/>
      <c r="F87" s="109"/>
      <c r="G87" s="109" t="str">
        <f>G50</f>
        <v>Dodi Oktavianto, S.E.</v>
      </c>
      <c r="H87" s="109"/>
      <c r="I87" s="109"/>
      <c r="J87" s="68"/>
      <c r="K87" s="109"/>
      <c r="L87" s="67"/>
      <c r="M87" s="68"/>
      <c r="P87" s="68"/>
    </row>
    <row r="88" spans="1:17" s="69" customFormat="1" ht="18" customHeight="1" x14ac:dyDescent="0.2">
      <c r="A88" s="68"/>
      <c r="B88" s="68"/>
      <c r="C88" s="68"/>
      <c r="D88" s="68"/>
      <c r="E88" s="68"/>
      <c r="F88" s="109"/>
      <c r="G88" s="68" t="str">
        <f>G51</f>
        <v>NIP. 197810032008101001</v>
      </c>
      <c r="H88" s="68"/>
      <c r="I88" s="68"/>
      <c r="J88" s="68"/>
      <c r="K88" s="109"/>
      <c r="L88" s="67"/>
      <c r="M88" s="68"/>
      <c r="P88" s="68"/>
    </row>
    <row r="89" spans="1:17" s="69" customFormat="1" ht="18" customHeight="1" x14ac:dyDescent="0.2">
      <c r="A89" s="68"/>
      <c r="B89" s="68"/>
      <c r="C89" s="68"/>
      <c r="D89" s="68"/>
      <c r="E89" s="68"/>
      <c r="F89" s="109"/>
      <c r="G89" s="73"/>
      <c r="H89" s="73"/>
      <c r="I89" s="73"/>
      <c r="J89" s="68"/>
      <c r="K89" s="109"/>
      <c r="L89" s="67"/>
      <c r="M89" s="68"/>
      <c r="P89" s="68"/>
    </row>
    <row r="91" spans="1:17" ht="18" customHeight="1" x14ac:dyDescent="0.2">
      <c r="A91" s="265" t="s">
        <v>35</v>
      </c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Q91" s="68"/>
    </row>
    <row r="92" spans="1:17" ht="18" customHeight="1" x14ac:dyDescent="0.2">
      <c r="B92" s="70"/>
      <c r="C92" s="70"/>
      <c r="D92" s="70"/>
      <c r="E92" s="70"/>
      <c r="F92" s="70"/>
      <c r="G92" s="71"/>
      <c r="H92" s="71"/>
      <c r="J92" s="71"/>
      <c r="K92" s="70"/>
      <c r="Q92" s="68"/>
    </row>
    <row r="93" spans="1:17" ht="18" customHeight="1" x14ac:dyDescent="0.2">
      <c r="B93" s="72" t="s">
        <v>36</v>
      </c>
      <c r="C93" s="72"/>
      <c r="D93" s="72"/>
      <c r="E93" s="72"/>
      <c r="F93" s="72"/>
      <c r="H93" s="71" t="s">
        <v>37</v>
      </c>
      <c r="I93" s="73" t="s">
        <v>38</v>
      </c>
      <c r="J93" s="73"/>
      <c r="K93" s="71"/>
      <c r="Q93" s="68"/>
    </row>
    <row r="94" spans="1:17" ht="18" customHeight="1" x14ac:dyDescent="0.2">
      <c r="B94" s="72" t="s">
        <v>39</v>
      </c>
      <c r="C94" s="72"/>
      <c r="D94" s="72"/>
      <c r="E94" s="72"/>
      <c r="F94" s="72"/>
      <c r="H94" s="74" t="s">
        <v>37</v>
      </c>
      <c r="I94" s="75" t="s">
        <v>207</v>
      </c>
      <c r="J94" s="74"/>
      <c r="Q94" s="68"/>
    </row>
    <row r="95" spans="1:17" ht="18" customHeight="1" x14ac:dyDescent="0.2">
      <c r="H95" s="72"/>
      <c r="I95" s="72"/>
      <c r="J95" s="73"/>
      <c r="K95" s="76"/>
      <c r="Q95" s="68"/>
    </row>
    <row r="96" spans="1:17" ht="18" customHeight="1" thickBot="1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8"/>
      <c r="Q96" s="68"/>
    </row>
    <row r="97" spans="1:17" ht="18" customHeight="1" x14ac:dyDescent="0.2">
      <c r="A97" s="79" t="s">
        <v>2</v>
      </c>
      <c r="B97" s="79"/>
      <c r="C97" s="71"/>
      <c r="D97" s="71"/>
      <c r="E97" s="71"/>
      <c r="F97" s="71"/>
      <c r="G97" s="71"/>
      <c r="H97" s="80"/>
      <c r="I97" s="81"/>
      <c r="J97" s="82"/>
      <c r="K97" s="83" t="s">
        <v>2</v>
      </c>
      <c r="Q97" s="68"/>
    </row>
    <row r="98" spans="1:17" ht="18" customHeight="1" x14ac:dyDescent="0.2">
      <c r="A98" s="79" t="s">
        <v>40</v>
      </c>
      <c r="B98" s="266" t="s">
        <v>41</v>
      </c>
      <c r="C98" s="267"/>
      <c r="D98" s="267"/>
      <c r="E98" s="267"/>
      <c r="F98" s="267"/>
      <c r="G98" s="268"/>
      <c r="H98" s="266" t="s">
        <v>42</v>
      </c>
      <c r="I98" s="268"/>
      <c r="J98" s="266" t="s">
        <v>43</v>
      </c>
      <c r="K98" s="268"/>
      <c r="L98" s="68"/>
      <c r="N98" s="68"/>
      <c r="O98" s="68"/>
      <c r="Q98" s="68"/>
    </row>
    <row r="99" spans="1:17" ht="18" customHeight="1" thickBot="1" x14ac:dyDescent="0.25">
      <c r="A99" s="84"/>
      <c r="B99" s="84"/>
      <c r="C99" s="77"/>
      <c r="D99" s="77"/>
      <c r="E99" s="77"/>
      <c r="F99" s="77"/>
      <c r="G99" s="77"/>
      <c r="H99" s="84" t="s">
        <v>2</v>
      </c>
      <c r="I99" s="85"/>
      <c r="J99" s="86"/>
      <c r="K99" s="87" t="s">
        <v>2</v>
      </c>
      <c r="L99" s="68"/>
      <c r="N99" s="68"/>
      <c r="O99" s="68"/>
      <c r="Q99" s="68"/>
    </row>
    <row r="100" spans="1:17" ht="18" customHeight="1" x14ac:dyDescent="0.2">
      <c r="A100" s="89"/>
      <c r="B100" s="89"/>
      <c r="H100" s="89"/>
      <c r="J100" s="79"/>
      <c r="K100" s="128"/>
      <c r="L100" s="68"/>
      <c r="N100" s="68"/>
      <c r="O100" s="68"/>
      <c r="Q100" s="68"/>
    </row>
    <row r="101" spans="1:17" s="244" customFormat="1" ht="22.5" customHeight="1" x14ac:dyDescent="0.2">
      <c r="A101" s="91">
        <v>1</v>
      </c>
      <c r="B101" s="236" t="s">
        <v>187</v>
      </c>
      <c r="C101" s="237"/>
      <c r="D101" s="238"/>
      <c r="E101" s="94"/>
      <c r="F101" s="238"/>
      <c r="G101" s="95"/>
      <c r="H101" s="239" t="s">
        <v>44</v>
      </c>
      <c r="I101" s="240">
        <f>2*530000</f>
        <v>1060000</v>
      </c>
      <c r="J101" s="239"/>
      <c r="K101" s="241"/>
      <c r="L101" s="242"/>
      <c r="M101" s="243"/>
      <c r="N101" s="243"/>
      <c r="P101" s="238"/>
    </row>
    <row r="102" spans="1:17" s="244" customFormat="1" ht="20.100000000000001" customHeight="1" x14ac:dyDescent="0.2">
      <c r="A102" s="91">
        <v>2</v>
      </c>
      <c r="B102" s="236" t="s">
        <v>186</v>
      </c>
      <c r="C102" s="237"/>
      <c r="D102" s="238"/>
      <c r="E102" s="94"/>
      <c r="F102" s="238"/>
      <c r="G102" s="95"/>
      <c r="H102" s="239" t="s">
        <v>44</v>
      </c>
      <c r="I102" s="245">
        <v>2429270</v>
      </c>
      <c r="J102" s="239"/>
      <c r="K102" s="241"/>
      <c r="L102" s="246"/>
      <c r="M102" s="243"/>
      <c r="N102" s="238"/>
    </row>
    <row r="103" spans="1:17" s="244" customFormat="1" ht="20.100000000000001" customHeight="1" x14ac:dyDescent="0.2">
      <c r="A103" s="91">
        <v>3</v>
      </c>
      <c r="B103" s="236" t="s">
        <v>45</v>
      </c>
      <c r="C103" s="237"/>
      <c r="D103" s="238"/>
      <c r="E103" s="94"/>
      <c r="F103" s="238"/>
      <c r="G103" s="95"/>
      <c r="H103" s="239" t="s">
        <v>44</v>
      </c>
      <c r="I103" s="240">
        <v>1350928</v>
      </c>
      <c r="J103" s="239"/>
      <c r="K103" s="241"/>
      <c r="L103" s="246"/>
      <c r="N103" s="238"/>
    </row>
    <row r="104" spans="1:17" s="244" customFormat="1" ht="20.100000000000001" hidden="1" customHeight="1" x14ac:dyDescent="0.2">
      <c r="A104" s="91">
        <v>4</v>
      </c>
      <c r="B104" s="236" t="s">
        <v>46</v>
      </c>
      <c r="C104" s="237"/>
      <c r="D104" s="238"/>
      <c r="E104" s="94"/>
      <c r="F104" s="238"/>
      <c r="G104" s="95"/>
      <c r="H104" s="239" t="s">
        <v>44</v>
      </c>
      <c r="I104" s="247"/>
      <c r="J104" s="238"/>
      <c r="K104" s="248"/>
      <c r="L104" s="242"/>
      <c r="N104" s="238"/>
    </row>
    <row r="105" spans="1:17" s="244" customFormat="1" ht="20.100000000000001" hidden="1" customHeight="1" x14ac:dyDescent="0.2">
      <c r="A105" s="91">
        <v>5</v>
      </c>
      <c r="B105" s="236" t="s">
        <v>152</v>
      </c>
      <c r="C105" s="237"/>
      <c r="D105" s="238"/>
      <c r="E105" s="94"/>
      <c r="F105" s="238"/>
      <c r="G105" s="95"/>
      <c r="H105" s="239" t="s">
        <v>44</v>
      </c>
      <c r="I105" s="247"/>
      <c r="J105" s="238"/>
      <c r="K105" s="248"/>
      <c r="L105" s="242"/>
      <c r="N105" s="238"/>
    </row>
    <row r="106" spans="1:17" s="69" customFormat="1" ht="25.5" customHeight="1" thickBot="1" x14ac:dyDescent="0.25">
      <c r="A106" s="79"/>
      <c r="B106" s="92"/>
      <c r="C106" s="93"/>
      <c r="D106" s="68"/>
      <c r="E106" s="94"/>
      <c r="F106" s="68"/>
      <c r="G106" s="95"/>
      <c r="H106" s="89"/>
      <c r="I106" s="134"/>
      <c r="J106" s="68"/>
      <c r="K106" s="96"/>
      <c r="L106" s="67"/>
      <c r="N106" s="68"/>
    </row>
    <row r="107" spans="1:17" ht="18" customHeight="1" thickBot="1" x14ac:dyDescent="0.25">
      <c r="A107" s="103"/>
      <c r="B107" s="131"/>
      <c r="C107" s="132"/>
      <c r="D107" s="132"/>
      <c r="E107" s="132"/>
      <c r="F107" s="132"/>
      <c r="G107" s="133"/>
      <c r="H107" s="130" t="s">
        <v>44</v>
      </c>
      <c r="I107" s="106">
        <f>SUM(I101:I106)</f>
        <v>4840198</v>
      </c>
      <c r="J107" s="107"/>
      <c r="K107" s="108"/>
      <c r="L107" s="68"/>
      <c r="N107" s="68"/>
      <c r="O107" s="68"/>
      <c r="Q107" s="68"/>
    </row>
    <row r="108" spans="1:17" ht="18" customHeight="1" x14ac:dyDescent="0.2">
      <c r="A108" s="89"/>
      <c r="H108" s="109"/>
      <c r="I108" s="109"/>
      <c r="J108" s="109"/>
      <c r="K108" s="110"/>
      <c r="L108" s="68"/>
      <c r="N108" s="68"/>
      <c r="O108" s="68"/>
      <c r="Q108" s="68"/>
    </row>
    <row r="109" spans="1:17" ht="18" customHeight="1" x14ac:dyDescent="0.2">
      <c r="A109" s="89"/>
      <c r="B109" s="109" t="s">
        <v>47</v>
      </c>
      <c r="C109" s="109"/>
      <c r="D109" s="111" t="str">
        <f>[1]!terbilang(I107,4,"rupiah,-")</f>
        <v>Empat juta delapan ratus empat puluh ribu seratus sembilan puluh delapan rupiah,-</v>
      </c>
      <c r="E109" s="111"/>
      <c r="F109" s="111"/>
      <c r="G109" s="111"/>
      <c r="H109" s="111"/>
      <c r="I109" s="111"/>
      <c r="J109" s="111"/>
      <c r="K109" s="112"/>
      <c r="L109" s="68"/>
      <c r="N109" s="68"/>
      <c r="O109" s="68"/>
      <c r="Q109" s="68"/>
    </row>
    <row r="110" spans="1:17" ht="18" customHeight="1" thickBot="1" x14ac:dyDescent="0.25">
      <c r="A110" s="84"/>
      <c r="B110" s="77"/>
      <c r="C110" s="77"/>
      <c r="D110" s="77"/>
      <c r="E110" s="77"/>
      <c r="F110" s="77"/>
      <c r="G110" s="77"/>
      <c r="H110" s="77"/>
      <c r="I110" s="77"/>
      <c r="J110" s="77"/>
      <c r="K110" s="100"/>
      <c r="L110" s="68"/>
      <c r="N110" s="68"/>
      <c r="O110" s="68"/>
      <c r="Q110" s="68"/>
    </row>
    <row r="111" spans="1:17" ht="18" customHeight="1" x14ac:dyDescent="0.2">
      <c r="H111" s="113"/>
      <c r="I111" s="113"/>
      <c r="J111" s="113"/>
      <c r="K111" s="113"/>
      <c r="L111" s="68"/>
      <c r="N111" s="68"/>
      <c r="O111" s="68"/>
      <c r="Q111" s="68"/>
    </row>
    <row r="112" spans="1:17" ht="18" customHeight="1" x14ac:dyDescent="0.2">
      <c r="H112" s="73" t="s">
        <v>208</v>
      </c>
      <c r="J112" s="114"/>
      <c r="L112" s="68"/>
      <c r="N112" s="68"/>
      <c r="O112" s="68"/>
      <c r="Q112" s="68"/>
    </row>
    <row r="113" spans="1:17" ht="18" customHeight="1" x14ac:dyDescent="0.2">
      <c r="B113" s="68" t="s">
        <v>48</v>
      </c>
      <c r="H113" s="68" t="s">
        <v>49</v>
      </c>
      <c r="L113" s="68"/>
      <c r="N113" s="68"/>
      <c r="O113" s="68"/>
      <c r="Q113" s="68"/>
    </row>
    <row r="114" spans="1:17" ht="18" customHeight="1" x14ac:dyDescent="0.2">
      <c r="B114" s="72" t="s">
        <v>44</v>
      </c>
      <c r="C114" s="115">
        <f>I107</f>
        <v>4840198</v>
      </c>
      <c r="D114" s="116" t="s">
        <v>50</v>
      </c>
      <c r="H114" s="109" t="s">
        <v>44</v>
      </c>
      <c r="I114" s="117">
        <f>I107</f>
        <v>4840198</v>
      </c>
      <c r="J114" s="68" t="s">
        <v>50</v>
      </c>
      <c r="K114" s="68" t="s">
        <v>2</v>
      </c>
      <c r="L114" s="68"/>
      <c r="N114" s="68"/>
      <c r="O114" s="68"/>
      <c r="Q114" s="68"/>
    </row>
    <row r="115" spans="1:17" ht="18" customHeight="1" x14ac:dyDescent="0.2">
      <c r="H115" s="269" t="str">
        <f>[1]!terbilang(I114,4,"rupiah,-")</f>
        <v>Empat juta delapan ratus empat puluh ribu seratus sembilan puluh delapan rupiah,-</v>
      </c>
      <c r="I115" s="269"/>
      <c r="J115" s="269"/>
      <c r="K115" s="269"/>
      <c r="L115" s="68"/>
      <c r="N115" s="68" t="s">
        <v>2</v>
      </c>
      <c r="O115" s="68"/>
      <c r="Q115" s="68"/>
    </row>
    <row r="116" spans="1:17" ht="18" customHeight="1" x14ac:dyDescent="0.2">
      <c r="H116" s="269"/>
      <c r="I116" s="269"/>
      <c r="J116" s="269"/>
      <c r="K116" s="269"/>
      <c r="L116" s="68"/>
      <c r="N116" s="68"/>
      <c r="O116" s="68"/>
      <c r="Q116" s="68"/>
    </row>
    <row r="119" spans="1:17" ht="18" customHeight="1" x14ac:dyDescent="0.2">
      <c r="B119" s="68" t="s">
        <v>51</v>
      </c>
      <c r="J119" s="68" t="s">
        <v>52</v>
      </c>
      <c r="L119" s="68"/>
      <c r="N119" s="68"/>
      <c r="O119" s="68"/>
      <c r="Q119" s="68"/>
    </row>
    <row r="123" spans="1:17" ht="18" customHeight="1" x14ac:dyDescent="0.2">
      <c r="B123" s="109" t="s">
        <v>53</v>
      </c>
      <c r="C123" s="109"/>
      <c r="D123" s="109"/>
      <c r="E123" s="109"/>
      <c r="F123" s="109"/>
      <c r="G123" s="109"/>
      <c r="H123" s="109"/>
      <c r="J123" s="109" t="str">
        <f>SPD!E66</f>
        <v>Dr. Irma Salamah, S.T.M.TI.</v>
      </c>
      <c r="K123" s="109"/>
      <c r="L123" s="68"/>
      <c r="N123" s="68"/>
      <c r="O123" s="68"/>
      <c r="Q123" s="68"/>
    </row>
    <row r="124" spans="1:17" ht="18" customHeight="1" x14ac:dyDescent="0.2">
      <c r="B124" s="68" t="s">
        <v>54</v>
      </c>
      <c r="J124" s="68" t="s">
        <v>55</v>
      </c>
      <c r="K124" s="68" t="str">
        <f>SPD!E67</f>
        <v>197410221998022001</v>
      </c>
      <c r="L124" s="68"/>
      <c r="N124" s="68"/>
      <c r="O124" s="68"/>
      <c r="Q124" s="68"/>
    </row>
    <row r="125" spans="1:17" ht="18" customHeight="1" thickBot="1" x14ac:dyDescent="0.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68"/>
      <c r="N125" s="68"/>
      <c r="O125" s="68"/>
      <c r="Q125" s="68"/>
    </row>
    <row r="127" spans="1:17" ht="18" customHeight="1" x14ac:dyDescent="0.2">
      <c r="B127" s="265" t="s">
        <v>56</v>
      </c>
      <c r="C127" s="265"/>
      <c r="D127" s="265"/>
      <c r="E127" s="265"/>
      <c r="F127" s="265"/>
      <c r="G127" s="265"/>
      <c r="H127" s="265"/>
      <c r="I127" s="265"/>
      <c r="J127" s="265"/>
      <c r="K127" s="265"/>
      <c r="L127" s="68"/>
      <c r="N127" s="68"/>
      <c r="O127" s="68"/>
      <c r="Q127" s="68"/>
    </row>
    <row r="128" spans="1:17" ht="18" customHeight="1" x14ac:dyDescent="0.2"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68"/>
      <c r="N128" s="68"/>
      <c r="O128" s="68"/>
      <c r="Q128" s="68"/>
    </row>
    <row r="130" spans="1:17" ht="18" customHeight="1" x14ac:dyDescent="0.2">
      <c r="B130" s="68" t="s">
        <v>57</v>
      </c>
      <c r="E130" s="109" t="s">
        <v>37</v>
      </c>
      <c r="F130" s="115"/>
      <c r="G130" s="120">
        <f>C114</f>
        <v>4840198</v>
      </c>
      <c r="H130" s="120" t="s">
        <v>50</v>
      </c>
      <c r="L130" s="68"/>
      <c r="N130" s="68"/>
      <c r="O130" s="68"/>
      <c r="Q130" s="68"/>
    </row>
    <row r="131" spans="1:17" ht="18" customHeight="1" thickBot="1" x14ac:dyDescent="0.25">
      <c r="B131" s="68" t="s">
        <v>58</v>
      </c>
      <c r="E131" s="109" t="s">
        <v>37</v>
      </c>
      <c r="F131" s="121"/>
      <c r="G131" s="122">
        <f>I114</f>
        <v>4840198</v>
      </c>
      <c r="H131" s="122" t="s">
        <v>50</v>
      </c>
      <c r="L131" s="68"/>
      <c r="N131" s="68"/>
      <c r="O131" s="68"/>
      <c r="Q131" s="68"/>
    </row>
    <row r="132" spans="1:17" ht="18" customHeight="1" x14ac:dyDescent="0.2">
      <c r="B132" s="68" t="s">
        <v>59</v>
      </c>
      <c r="E132" s="109" t="s">
        <v>37</v>
      </c>
      <c r="F132" s="70"/>
      <c r="G132" s="70" t="s">
        <v>60</v>
      </c>
      <c r="H132" s="123" t="s">
        <v>61</v>
      </c>
      <c r="L132" s="68"/>
      <c r="N132" s="68"/>
      <c r="O132" s="68"/>
      <c r="Q132" s="68"/>
    </row>
    <row r="135" spans="1:17" ht="18" customHeight="1" x14ac:dyDescent="0.2">
      <c r="G135" s="73" t="s">
        <v>62</v>
      </c>
      <c r="H135" s="73"/>
      <c r="I135" s="73"/>
      <c r="L135" s="68"/>
      <c r="N135" s="68"/>
      <c r="O135" s="68"/>
      <c r="Q135" s="68"/>
    </row>
    <row r="140" spans="1:17" ht="18" customHeight="1" x14ac:dyDescent="0.2">
      <c r="G140" s="109" t="s">
        <v>63</v>
      </c>
      <c r="H140" s="109"/>
      <c r="I140" s="109"/>
      <c r="J140" s="124"/>
      <c r="L140" s="68"/>
      <c r="N140" s="68"/>
      <c r="O140" s="68"/>
      <c r="Q140" s="68"/>
    </row>
    <row r="141" spans="1:17" ht="18" customHeight="1" x14ac:dyDescent="0.2">
      <c r="G141" s="270" t="s">
        <v>64</v>
      </c>
      <c r="H141" s="270"/>
      <c r="I141" s="270"/>
      <c r="J141" s="109"/>
      <c r="L141" s="68"/>
      <c r="N141" s="68"/>
      <c r="O141" s="68"/>
      <c r="Q141" s="68"/>
    </row>
    <row r="143" spans="1:17" ht="18" customHeight="1" x14ac:dyDescent="0.2">
      <c r="A143" s="68" t="s">
        <v>2</v>
      </c>
      <c r="I143" s="68" t="s">
        <v>65</v>
      </c>
      <c r="K143" s="68" t="s">
        <v>66</v>
      </c>
      <c r="L143" s="68"/>
      <c r="N143" s="68"/>
      <c r="O143" s="68"/>
      <c r="Q143" s="68"/>
    </row>
    <row r="144" spans="1:17" ht="18" customHeight="1" x14ac:dyDescent="0.2">
      <c r="I144" s="68" t="s">
        <v>67</v>
      </c>
      <c r="K144" s="68" t="s">
        <v>66</v>
      </c>
      <c r="L144" s="68"/>
      <c r="N144" s="68"/>
      <c r="O144" s="68"/>
      <c r="Q144" s="68"/>
    </row>
    <row r="145" spans="1:17" ht="18" customHeight="1" x14ac:dyDescent="0.2">
      <c r="I145" s="68" t="s">
        <v>68</v>
      </c>
      <c r="K145" s="68" t="s">
        <v>69</v>
      </c>
      <c r="L145" s="68"/>
      <c r="N145" s="68"/>
      <c r="O145" s="68"/>
      <c r="Q145" s="68"/>
    </row>
    <row r="148" spans="1:17" ht="18" customHeight="1" x14ac:dyDescent="0.2">
      <c r="A148" s="265" t="s">
        <v>70</v>
      </c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68"/>
      <c r="N148" s="68"/>
      <c r="O148" s="68"/>
      <c r="Q148" s="68"/>
    </row>
    <row r="151" spans="1:17" ht="18" customHeight="1" x14ac:dyDescent="0.2">
      <c r="B151" s="68" t="s">
        <v>71</v>
      </c>
      <c r="E151" s="68" t="s">
        <v>37</v>
      </c>
      <c r="F151" s="68" t="s">
        <v>72</v>
      </c>
      <c r="L151" s="68"/>
      <c r="N151" s="68"/>
      <c r="O151" s="68"/>
      <c r="Q151" s="68"/>
    </row>
    <row r="152" spans="1:17" ht="18" customHeight="1" x14ac:dyDescent="0.2">
      <c r="B152" s="68" t="s">
        <v>73</v>
      </c>
      <c r="E152" s="68" t="s">
        <v>37</v>
      </c>
      <c r="F152" s="68" t="s">
        <v>44</v>
      </c>
      <c r="G152" s="115">
        <f>I107</f>
        <v>4840198</v>
      </c>
      <c r="H152" s="125" t="s">
        <v>50</v>
      </c>
      <c r="L152" s="68"/>
      <c r="N152" s="68"/>
      <c r="O152" s="68"/>
      <c r="Q152" s="68"/>
    </row>
    <row r="153" spans="1:17" ht="18" customHeight="1" x14ac:dyDescent="0.2">
      <c r="B153" s="68" t="s">
        <v>74</v>
      </c>
      <c r="E153" s="68" t="s">
        <v>37</v>
      </c>
      <c r="F153" s="68" t="s">
        <v>75</v>
      </c>
      <c r="L153" s="68"/>
      <c r="N153" s="68"/>
      <c r="O153" s="68"/>
      <c r="Q153" s="68"/>
    </row>
    <row r="154" spans="1:17" ht="18" customHeight="1" x14ac:dyDescent="0.2">
      <c r="B154" s="68" t="s">
        <v>76</v>
      </c>
      <c r="E154" s="68" t="s">
        <v>37</v>
      </c>
      <c r="F154" s="68" t="s">
        <v>77</v>
      </c>
      <c r="L154" s="68"/>
      <c r="N154" s="68"/>
      <c r="O154" s="68"/>
      <c r="Q154" s="68"/>
    </row>
    <row r="155" spans="1:17" ht="18" customHeight="1" x14ac:dyDescent="0.2">
      <c r="B155" s="68" t="s">
        <v>78</v>
      </c>
      <c r="E155" s="68" t="s">
        <v>37</v>
      </c>
      <c r="F155" s="68" t="s">
        <v>38</v>
      </c>
      <c r="L155" s="68"/>
      <c r="N155" s="68"/>
      <c r="O155" s="68"/>
      <c r="Q155" s="68"/>
    </row>
    <row r="156" spans="1:17" ht="18" customHeight="1" x14ac:dyDescent="0.2">
      <c r="B156" s="68" t="s">
        <v>79</v>
      </c>
      <c r="E156" s="68" t="s">
        <v>37</v>
      </c>
      <c r="F156" s="114" t="str">
        <f>I94</f>
        <v>15 Januari 2026</v>
      </c>
      <c r="L156" s="68"/>
      <c r="N156" s="68"/>
      <c r="O156" s="68"/>
      <c r="Q156" s="68"/>
    </row>
    <row r="157" spans="1:17" ht="18" customHeight="1" x14ac:dyDescent="0.2">
      <c r="B157" s="68" t="s">
        <v>80</v>
      </c>
      <c r="E157" s="68" t="s">
        <v>37</v>
      </c>
      <c r="F157" s="68" t="s">
        <v>188</v>
      </c>
      <c r="L157" s="68"/>
      <c r="N157" s="68"/>
      <c r="O157" s="68"/>
      <c r="Q157" s="68"/>
    </row>
    <row r="158" spans="1:17" ht="18" customHeight="1" x14ac:dyDescent="0.2">
      <c r="B158" s="68" t="s">
        <v>81</v>
      </c>
      <c r="E158" s="68" t="s">
        <v>37</v>
      </c>
      <c r="F158" s="269" t="str">
        <f>[1]!terbilang(G152,4,"rupiah,-")</f>
        <v>Empat juta delapan ratus empat puluh ribu seratus sembilan puluh delapan rupiah,-</v>
      </c>
      <c r="G158" s="269"/>
      <c r="H158" s="269"/>
      <c r="I158" s="269"/>
      <c r="J158" s="269"/>
      <c r="K158" s="269"/>
      <c r="L158" s="68"/>
      <c r="N158" s="68"/>
      <c r="O158" s="68"/>
      <c r="Q158" s="68"/>
    </row>
    <row r="159" spans="1:17" ht="18" customHeight="1" x14ac:dyDescent="0.2">
      <c r="F159" s="269"/>
      <c r="G159" s="269"/>
      <c r="H159" s="269"/>
      <c r="I159" s="269"/>
      <c r="J159" s="269"/>
      <c r="K159" s="269"/>
      <c r="L159" s="68"/>
      <c r="N159" s="68"/>
      <c r="O159" s="68"/>
      <c r="Q159" s="68"/>
    </row>
    <row r="162" spans="2:17" ht="18" customHeight="1" x14ac:dyDescent="0.2">
      <c r="B162" s="68" t="s">
        <v>82</v>
      </c>
      <c r="I162" s="68" t="s">
        <v>2</v>
      </c>
      <c r="J162" s="68" t="str">
        <f>H112</f>
        <v>Palembang, 15 Januari 2026</v>
      </c>
      <c r="L162" s="68"/>
      <c r="N162" s="68"/>
      <c r="O162" s="68"/>
      <c r="Q162" s="68"/>
    </row>
    <row r="163" spans="2:17" ht="18" customHeight="1" x14ac:dyDescent="0.2">
      <c r="B163" s="68" t="s">
        <v>51</v>
      </c>
      <c r="J163" s="68" t="s">
        <v>52</v>
      </c>
      <c r="L163" s="68"/>
      <c r="N163" s="68"/>
      <c r="O163" s="68"/>
      <c r="Q163" s="68"/>
    </row>
    <row r="164" spans="2:17" ht="18" customHeight="1" x14ac:dyDescent="0.2">
      <c r="H164" s="68" t="s">
        <v>2</v>
      </c>
      <c r="I164" s="68" t="s">
        <v>2</v>
      </c>
      <c r="J164" s="68" t="s">
        <v>2</v>
      </c>
      <c r="L164" s="68"/>
      <c r="N164" s="68"/>
      <c r="O164" s="68"/>
      <c r="Q164" s="68"/>
    </row>
    <row r="167" spans="2:17" ht="18" customHeight="1" x14ac:dyDescent="0.2">
      <c r="G167" s="69"/>
      <c r="L167" s="68"/>
      <c r="N167" s="68"/>
      <c r="O167" s="68"/>
      <c r="Q167" s="68"/>
    </row>
    <row r="168" spans="2:17" ht="18" customHeight="1" x14ac:dyDescent="0.2">
      <c r="B168" s="109" t="s">
        <v>53</v>
      </c>
      <c r="C168" s="109"/>
      <c r="E168" s="109"/>
      <c r="G168" s="109"/>
      <c r="I168" s="109" t="s">
        <v>2</v>
      </c>
      <c r="J168" s="109" t="str">
        <f>J123</f>
        <v>Dr. Irma Salamah, S.T.M.TI.</v>
      </c>
      <c r="L168" s="68"/>
      <c r="N168" s="68"/>
      <c r="O168" s="68"/>
      <c r="Q168" s="68"/>
    </row>
    <row r="169" spans="2:17" ht="18" customHeight="1" x14ac:dyDescent="0.2">
      <c r="B169" s="68" t="s">
        <v>54</v>
      </c>
      <c r="J169" s="68" t="str">
        <f>J124</f>
        <v xml:space="preserve">NIP </v>
      </c>
      <c r="K169" s="68" t="str">
        <f>K124</f>
        <v>197410221998022001</v>
      </c>
      <c r="L169" s="68"/>
      <c r="N169" s="68"/>
      <c r="O169" s="68"/>
      <c r="Q169" s="68"/>
    </row>
    <row r="170" spans="2:17" ht="18" customHeight="1" x14ac:dyDescent="0.2">
      <c r="F170" s="109"/>
      <c r="K170" s="109"/>
      <c r="L170" s="68"/>
      <c r="N170" s="68"/>
      <c r="O170" s="68"/>
      <c r="Q170" s="68"/>
    </row>
    <row r="171" spans="2:17" ht="18" customHeight="1" x14ac:dyDescent="0.2">
      <c r="F171" s="109"/>
      <c r="G171" s="68" t="s">
        <v>83</v>
      </c>
      <c r="K171" s="109"/>
      <c r="L171" s="68"/>
      <c r="N171" s="68"/>
      <c r="O171" s="68"/>
      <c r="Q171" s="68"/>
    </row>
    <row r="172" spans="2:17" ht="18" customHeight="1" x14ac:dyDescent="0.2">
      <c r="F172" s="109"/>
      <c r="G172" s="68" t="s">
        <v>84</v>
      </c>
      <c r="K172" s="109"/>
      <c r="L172" s="68"/>
      <c r="N172" s="68"/>
      <c r="O172" s="68"/>
      <c r="Q172" s="68"/>
    </row>
    <row r="173" spans="2:17" ht="18" customHeight="1" x14ac:dyDescent="0.2">
      <c r="F173" s="109"/>
      <c r="G173" s="68" t="s">
        <v>2</v>
      </c>
      <c r="K173" s="109"/>
      <c r="L173" s="68"/>
      <c r="N173" s="68"/>
      <c r="O173" s="68"/>
      <c r="Q173" s="68"/>
    </row>
    <row r="174" spans="2:17" ht="18" customHeight="1" x14ac:dyDescent="0.2">
      <c r="F174" s="109"/>
      <c r="K174" s="109"/>
      <c r="L174" s="68"/>
      <c r="N174" s="68"/>
      <c r="O174" s="68"/>
      <c r="Q174" s="68"/>
    </row>
    <row r="175" spans="2:17" ht="18" customHeight="1" x14ac:dyDescent="0.2">
      <c r="F175" s="109"/>
      <c r="K175" s="109"/>
      <c r="L175" s="68"/>
      <c r="N175" s="68"/>
      <c r="O175" s="68"/>
      <c r="Q175" s="68"/>
    </row>
    <row r="176" spans="2:17" ht="18" customHeight="1" x14ac:dyDescent="0.2">
      <c r="F176" s="109"/>
      <c r="K176" s="109"/>
      <c r="L176" s="68"/>
      <c r="N176" s="68"/>
      <c r="O176" s="68"/>
      <c r="Q176" s="68"/>
    </row>
    <row r="177" spans="6:17" ht="18" customHeight="1" x14ac:dyDescent="0.2">
      <c r="F177" s="109"/>
      <c r="G177" s="109" t="str">
        <f>G140</f>
        <v>Dodi Oktavianto, S.E.</v>
      </c>
      <c r="H177" s="109"/>
      <c r="I177" s="109"/>
      <c r="K177" s="109"/>
      <c r="L177" s="68"/>
      <c r="N177" s="68"/>
      <c r="O177" s="68"/>
      <c r="Q177" s="68"/>
    </row>
    <row r="178" spans="6:17" ht="18" customHeight="1" x14ac:dyDescent="0.2">
      <c r="F178" s="109"/>
      <c r="G178" s="68" t="str">
        <f>G141</f>
        <v>NIP. 197810032008101001</v>
      </c>
      <c r="K178" s="109"/>
      <c r="L178" s="68"/>
      <c r="N178" s="68"/>
      <c r="O178" s="68"/>
      <c r="Q178" s="68"/>
    </row>
    <row r="179" spans="6:17" ht="18" customHeight="1" x14ac:dyDescent="0.2">
      <c r="F179" s="109"/>
      <c r="G179" s="73"/>
      <c r="H179" s="73"/>
      <c r="I179" s="73"/>
      <c r="K179" s="109"/>
      <c r="L179" s="68"/>
      <c r="N179" s="68"/>
      <c r="O179" s="68"/>
      <c r="Q179" s="68"/>
    </row>
  </sheetData>
  <mergeCells count="18">
    <mergeCell ref="B37:K37"/>
    <mergeCell ref="A1:K1"/>
    <mergeCell ref="B8:G8"/>
    <mergeCell ref="H8:I8"/>
    <mergeCell ref="J8:K8"/>
    <mergeCell ref="H25:K26"/>
    <mergeCell ref="G51:I51"/>
    <mergeCell ref="A58:K58"/>
    <mergeCell ref="F68:K69"/>
    <mergeCell ref="A91:K91"/>
    <mergeCell ref="B98:G98"/>
    <mergeCell ref="H98:I98"/>
    <mergeCell ref="J98:K98"/>
    <mergeCell ref="H115:K116"/>
    <mergeCell ref="B127:K127"/>
    <mergeCell ref="G141:I141"/>
    <mergeCell ref="A148:K148"/>
    <mergeCell ref="F158:K159"/>
  </mergeCells>
  <printOptions horizontalCentered="1"/>
  <pageMargins left="0.27559055118110237" right="0" top="0.94488188976377963" bottom="0.74803149606299213" header="0.31496062992125984" footer="0.31496062992125984"/>
  <pageSetup paperSize="9" scale="72" fitToHeight="0" orientation="portrait" horizontalDpi="360" verticalDpi="360" r:id="rId1"/>
  <rowBreaks count="3" manualBreakCount="3">
    <brk id="52" max="16383" man="1"/>
    <brk id="90" max="16383" man="1"/>
    <brk id="142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opLeftCell="A14" workbookViewId="0">
      <selection activeCell="P19" sqref="P19"/>
    </sheetView>
  </sheetViews>
  <sheetFormatPr defaultRowHeight="18" customHeight="1" x14ac:dyDescent="0.25"/>
  <cols>
    <col min="1" max="1" width="6.7109375" style="6" customWidth="1"/>
    <col min="2" max="2" width="3.28515625" style="6" customWidth="1"/>
    <col min="3" max="3" width="3.7109375" style="6" customWidth="1"/>
    <col min="4" max="4" width="5.28515625" style="6" customWidth="1"/>
    <col min="5" max="5" width="3.140625" style="6" customWidth="1"/>
    <col min="6" max="6" width="4" style="6" customWidth="1"/>
    <col min="7" max="7" width="29.28515625" style="6" customWidth="1"/>
    <col min="8" max="8" width="11.28515625" style="6" customWidth="1"/>
    <col min="9" max="9" width="4" style="6" customWidth="1"/>
    <col min="10" max="10" width="7" style="6" customWidth="1"/>
    <col min="11" max="11" width="33.140625" style="6" customWidth="1"/>
    <col min="12" max="12" width="3.85546875" style="6" customWidth="1"/>
    <col min="13" max="13" width="5.42578125" style="6" customWidth="1"/>
    <col min="14" max="14" width="2.42578125" style="6" customWidth="1"/>
    <col min="15" max="256" width="9.140625" style="6"/>
    <col min="257" max="257" width="6.7109375" style="6" customWidth="1"/>
    <col min="258" max="258" width="3.28515625" style="6" customWidth="1"/>
    <col min="259" max="259" width="3.7109375" style="6" customWidth="1"/>
    <col min="260" max="260" width="5.28515625" style="6" customWidth="1"/>
    <col min="261" max="261" width="3.140625" style="6" customWidth="1"/>
    <col min="262" max="262" width="4" style="6" customWidth="1"/>
    <col min="263" max="263" width="29.28515625" style="6" customWidth="1"/>
    <col min="264" max="264" width="11.28515625" style="6" customWidth="1"/>
    <col min="265" max="265" width="4" style="6" customWidth="1"/>
    <col min="266" max="266" width="7" style="6" customWidth="1"/>
    <col min="267" max="267" width="33.140625" style="6" customWidth="1"/>
    <col min="268" max="268" width="3.85546875" style="6" customWidth="1"/>
    <col min="269" max="269" width="5.42578125" style="6" customWidth="1"/>
    <col min="270" max="270" width="2.42578125" style="6" customWidth="1"/>
    <col min="271" max="512" width="9.140625" style="6"/>
    <col min="513" max="513" width="6.7109375" style="6" customWidth="1"/>
    <col min="514" max="514" width="3.28515625" style="6" customWidth="1"/>
    <col min="515" max="515" width="3.7109375" style="6" customWidth="1"/>
    <col min="516" max="516" width="5.28515625" style="6" customWidth="1"/>
    <col min="517" max="517" width="3.140625" style="6" customWidth="1"/>
    <col min="518" max="518" width="4" style="6" customWidth="1"/>
    <col min="519" max="519" width="29.28515625" style="6" customWidth="1"/>
    <col min="520" max="520" width="11.28515625" style="6" customWidth="1"/>
    <col min="521" max="521" width="4" style="6" customWidth="1"/>
    <col min="522" max="522" width="7" style="6" customWidth="1"/>
    <col min="523" max="523" width="33.140625" style="6" customWidth="1"/>
    <col min="524" max="524" width="3.85546875" style="6" customWidth="1"/>
    <col min="525" max="525" width="5.42578125" style="6" customWidth="1"/>
    <col min="526" max="526" width="2.42578125" style="6" customWidth="1"/>
    <col min="527" max="768" width="9.140625" style="6"/>
    <col min="769" max="769" width="6.7109375" style="6" customWidth="1"/>
    <col min="770" max="770" width="3.28515625" style="6" customWidth="1"/>
    <col min="771" max="771" width="3.7109375" style="6" customWidth="1"/>
    <col min="772" max="772" width="5.28515625" style="6" customWidth="1"/>
    <col min="773" max="773" width="3.140625" style="6" customWidth="1"/>
    <col min="774" max="774" width="4" style="6" customWidth="1"/>
    <col min="775" max="775" width="29.28515625" style="6" customWidth="1"/>
    <col min="776" max="776" width="11.28515625" style="6" customWidth="1"/>
    <col min="777" max="777" width="4" style="6" customWidth="1"/>
    <col min="778" max="778" width="7" style="6" customWidth="1"/>
    <col min="779" max="779" width="33.140625" style="6" customWidth="1"/>
    <col min="780" max="780" width="3.85546875" style="6" customWidth="1"/>
    <col min="781" max="781" width="5.42578125" style="6" customWidth="1"/>
    <col min="782" max="782" width="2.42578125" style="6" customWidth="1"/>
    <col min="783" max="1024" width="9.140625" style="6"/>
    <col min="1025" max="1025" width="6.7109375" style="6" customWidth="1"/>
    <col min="1026" max="1026" width="3.28515625" style="6" customWidth="1"/>
    <col min="1027" max="1027" width="3.7109375" style="6" customWidth="1"/>
    <col min="1028" max="1028" width="5.28515625" style="6" customWidth="1"/>
    <col min="1029" max="1029" width="3.140625" style="6" customWidth="1"/>
    <col min="1030" max="1030" width="4" style="6" customWidth="1"/>
    <col min="1031" max="1031" width="29.28515625" style="6" customWidth="1"/>
    <col min="1032" max="1032" width="11.28515625" style="6" customWidth="1"/>
    <col min="1033" max="1033" width="4" style="6" customWidth="1"/>
    <col min="1034" max="1034" width="7" style="6" customWidth="1"/>
    <col min="1035" max="1035" width="33.140625" style="6" customWidth="1"/>
    <col min="1036" max="1036" width="3.85546875" style="6" customWidth="1"/>
    <col min="1037" max="1037" width="5.42578125" style="6" customWidth="1"/>
    <col min="1038" max="1038" width="2.42578125" style="6" customWidth="1"/>
    <col min="1039" max="1280" width="9.140625" style="6"/>
    <col min="1281" max="1281" width="6.7109375" style="6" customWidth="1"/>
    <col min="1282" max="1282" width="3.28515625" style="6" customWidth="1"/>
    <col min="1283" max="1283" width="3.7109375" style="6" customWidth="1"/>
    <col min="1284" max="1284" width="5.28515625" style="6" customWidth="1"/>
    <col min="1285" max="1285" width="3.140625" style="6" customWidth="1"/>
    <col min="1286" max="1286" width="4" style="6" customWidth="1"/>
    <col min="1287" max="1287" width="29.28515625" style="6" customWidth="1"/>
    <col min="1288" max="1288" width="11.28515625" style="6" customWidth="1"/>
    <col min="1289" max="1289" width="4" style="6" customWidth="1"/>
    <col min="1290" max="1290" width="7" style="6" customWidth="1"/>
    <col min="1291" max="1291" width="33.140625" style="6" customWidth="1"/>
    <col min="1292" max="1292" width="3.85546875" style="6" customWidth="1"/>
    <col min="1293" max="1293" width="5.42578125" style="6" customWidth="1"/>
    <col min="1294" max="1294" width="2.42578125" style="6" customWidth="1"/>
    <col min="1295" max="1536" width="9.140625" style="6"/>
    <col min="1537" max="1537" width="6.7109375" style="6" customWidth="1"/>
    <col min="1538" max="1538" width="3.28515625" style="6" customWidth="1"/>
    <col min="1539" max="1539" width="3.7109375" style="6" customWidth="1"/>
    <col min="1540" max="1540" width="5.28515625" style="6" customWidth="1"/>
    <col min="1541" max="1541" width="3.140625" style="6" customWidth="1"/>
    <col min="1542" max="1542" width="4" style="6" customWidth="1"/>
    <col min="1543" max="1543" width="29.28515625" style="6" customWidth="1"/>
    <col min="1544" max="1544" width="11.28515625" style="6" customWidth="1"/>
    <col min="1545" max="1545" width="4" style="6" customWidth="1"/>
    <col min="1546" max="1546" width="7" style="6" customWidth="1"/>
    <col min="1547" max="1547" width="33.140625" style="6" customWidth="1"/>
    <col min="1548" max="1548" width="3.85546875" style="6" customWidth="1"/>
    <col min="1549" max="1549" width="5.42578125" style="6" customWidth="1"/>
    <col min="1550" max="1550" width="2.42578125" style="6" customWidth="1"/>
    <col min="1551" max="1792" width="9.140625" style="6"/>
    <col min="1793" max="1793" width="6.7109375" style="6" customWidth="1"/>
    <col min="1794" max="1794" width="3.28515625" style="6" customWidth="1"/>
    <col min="1795" max="1795" width="3.7109375" style="6" customWidth="1"/>
    <col min="1796" max="1796" width="5.28515625" style="6" customWidth="1"/>
    <col min="1797" max="1797" width="3.140625" style="6" customWidth="1"/>
    <col min="1798" max="1798" width="4" style="6" customWidth="1"/>
    <col min="1799" max="1799" width="29.28515625" style="6" customWidth="1"/>
    <col min="1800" max="1800" width="11.28515625" style="6" customWidth="1"/>
    <col min="1801" max="1801" width="4" style="6" customWidth="1"/>
    <col min="1802" max="1802" width="7" style="6" customWidth="1"/>
    <col min="1803" max="1803" width="33.140625" style="6" customWidth="1"/>
    <col min="1804" max="1804" width="3.85546875" style="6" customWidth="1"/>
    <col min="1805" max="1805" width="5.42578125" style="6" customWidth="1"/>
    <col min="1806" max="1806" width="2.42578125" style="6" customWidth="1"/>
    <col min="1807" max="2048" width="9.140625" style="6"/>
    <col min="2049" max="2049" width="6.7109375" style="6" customWidth="1"/>
    <col min="2050" max="2050" width="3.28515625" style="6" customWidth="1"/>
    <col min="2051" max="2051" width="3.7109375" style="6" customWidth="1"/>
    <col min="2052" max="2052" width="5.28515625" style="6" customWidth="1"/>
    <col min="2053" max="2053" width="3.140625" style="6" customWidth="1"/>
    <col min="2054" max="2054" width="4" style="6" customWidth="1"/>
    <col min="2055" max="2055" width="29.28515625" style="6" customWidth="1"/>
    <col min="2056" max="2056" width="11.28515625" style="6" customWidth="1"/>
    <col min="2057" max="2057" width="4" style="6" customWidth="1"/>
    <col min="2058" max="2058" width="7" style="6" customWidth="1"/>
    <col min="2059" max="2059" width="33.140625" style="6" customWidth="1"/>
    <col min="2060" max="2060" width="3.85546875" style="6" customWidth="1"/>
    <col min="2061" max="2061" width="5.42578125" style="6" customWidth="1"/>
    <col min="2062" max="2062" width="2.42578125" style="6" customWidth="1"/>
    <col min="2063" max="2304" width="9.140625" style="6"/>
    <col min="2305" max="2305" width="6.7109375" style="6" customWidth="1"/>
    <col min="2306" max="2306" width="3.28515625" style="6" customWidth="1"/>
    <col min="2307" max="2307" width="3.7109375" style="6" customWidth="1"/>
    <col min="2308" max="2308" width="5.28515625" style="6" customWidth="1"/>
    <col min="2309" max="2309" width="3.140625" style="6" customWidth="1"/>
    <col min="2310" max="2310" width="4" style="6" customWidth="1"/>
    <col min="2311" max="2311" width="29.28515625" style="6" customWidth="1"/>
    <col min="2312" max="2312" width="11.28515625" style="6" customWidth="1"/>
    <col min="2313" max="2313" width="4" style="6" customWidth="1"/>
    <col min="2314" max="2314" width="7" style="6" customWidth="1"/>
    <col min="2315" max="2315" width="33.140625" style="6" customWidth="1"/>
    <col min="2316" max="2316" width="3.85546875" style="6" customWidth="1"/>
    <col min="2317" max="2317" width="5.42578125" style="6" customWidth="1"/>
    <col min="2318" max="2318" width="2.42578125" style="6" customWidth="1"/>
    <col min="2319" max="2560" width="9.140625" style="6"/>
    <col min="2561" max="2561" width="6.7109375" style="6" customWidth="1"/>
    <col min="2562" max="2562" width="3.28515625" style="6" customWidth="1"/>
    <col min="2563" max="2563" width="3.7109375" style="6" customWidth="1"/>
    <col min="2564" max="2564" width="5.28515625" style="6" customWidth="1"/>
    <col min="2565" max="2565" width="3.140625" style="6" customWidth="1"/>
    <col min="2566" max="2566" width="4" style="6" customWidth="1"/>
    <col min="2567" max="2567" width="29.28515625" style="6" customWidth="1"/>
    <col min="2568" max="2568" width="11.28515625" style="6" customWidth="1"/>
    <col min="2569" max="2569" width="4" style="6" customWidth="1"/>
    <col min="2570" max="2570" width="7" style="6" customWidth="1"/>
    <col min="2571" max="2571" width="33.140625" style="6" customWidth="1"/>
    <col min="2572" max="2572" width="3.85546875" style="6" customWidth="1"/>
    <col min="2573" max="2573" width="5.42578125" style="6" customWidth="1"/>
    <col min="2574" max="2574" width="2.42578125" style="6" customWidth="1"/>
    <col min="2575" max="2816" width="9.140625" style="6"/>
    <col min="2817" max="2817" width="6.7109375" style="6" customWidth="1"/>
    <col min="2818" max="2818" width="3.28515625" style="6" customWidth="1"/>
    <col min="2819" max="2819" width="3.7109375" style="6" customWidth="1"/>
    <col min="2820" max="2820" width="5.28515625" style="6" customWidth="1"/>
    <col min="2821" max="2821" width="3.140625" style="6" customWidth="1"/>
    <col min="2822" max="2822" width="4" style="6" customWidth="1"/>
    <col min="2823" max="2823" width="29.28515625" style="6" customWidth="1"/>
    <col min="2824" max="2824" width="11.28515625" style="6" customWidth="1"/>
    <col min="2825" max="2825" width="4" style="6" customWidth="1"/>
    <col min="2826" max="2826" width="7" style="6" customWidth="1"/>
    <col min="2827" max="2827" width="33.140625" style="6" customWidth="1"/>
    <col min="2828" max="2828" width="3.85546875" style="6" customWidth="1"/>
    <col min="2829" max="2829" width="5.42578125" style="6" customWidth="1"/>
    <col min="2830" max="2830" width="2.42578125" style="6" customWidth="1"/>
    <col min="2831" max="3072" width="9.140625" style="6"/>
    <col min="3073" max="3073" width="6.7109375" style="6" customWidth="1"/>
    <col min="3074" max="3074" width="3.28515625" style="6" customWidth="1"/>
    <col min="3075" max="3075" width="3.7109375" style="6" customWidth="1"/>
    <col min="3076" max="3076" width="5.28515625" style="6" customWidth="1"/>
    <col min="3077" max="3077" width="3.140625" style="6" customWidth="1"/>
    <col min="3078" max="3078" width="4" style="6" customWidth="1"/>
    <col min="3079" max="3079" width="29.28515625" style="6" customWidth="1"/>
    <col min="3080" max="3080" width="11.28515625" style="6" customWidth="1"/>
    <col min="3081" max="3081" width="4" style="6" customWidth="1"/>
    <col min="3082" max="3082" width="7" style="6" customWidth="1"/>
    <col min="3083" max="3083" width="33.140625" style="6" customWidth="1"/>
    <col min="3084" max="3084" width="3.85546875" style="6" customWidth="1"/>
    <col min="3085" max="3085" width="5.42578125" style="6" customWidth="1"/>
    <col min="3086" max="3086" width="2.42578125" style="6" customWidth="1"/>
    <col min="3087" max="3328" width="9.140625" style="6"/>
    <col min="3329" max="3329" width="6.7109375" style="6" customWidth="1"/>
    <col min="3330" max="3330" width="3.28515625" style="6" customWidth="1"/>
    <col min="3331" max="3331" width="3.7109375" style="6" customWidth="1"/>
    <col min="3332" max="3332" width="5.28515625" style="6" customWidth="1"/>
    <col min="3333" max="3333" width="3.140625" style="6" customWidth="1"/>
    <col min="3334" max="3334" width="4" style="6" customWidth="1"/>
    <col min="3335" max="3335" width="29.28515625" style="6" customWidth="1"/>
    <col min="3336" max="3336" width="11.28515625" style="6" customWidth="1"/>
    <col min="3337" max="3337" width="4" style="6" customWidth="1"/>
    <col min="3338" max="3338" width="7" style="6" customWidth="1"/>
    <col min="3339" max="3339" width="33.140625" style="6" customWidth="1"/>
    <col min="3340" max="3340" width="3.85546875" style="6" customWidth="1"/>
    <col min="3341" max="3341" width="5.42578125" style="6" customWidth="1"/>
    <col min="3342" max="3342" width="2.42578125" style="6" customWidth="1"/>
    <col min="3343" max="3584" width="9.140625" style="6"/>
    <col min="3585" max="3585" width="6.7109375" style="6" customWidth="1"/>
    <col min="3586" max="3586" width="3.28515625" style="6" customWidth="1"/>
    <col min="3587" max="3587" width="3.7109375" style="6" customWidth="1"/>
    <col min="3588" max="3588" width="5.28515625" style="6" customWidth="1"/>
    <col min="3589" max="3589" width="3.140625" style="6" customWidth="1"/>
    <col min="3590" max="3590" width="4" style="6" customWidth="1"/>
    <col min="3591" max="3591" width="29.28515625" style="6" customWidth="1"/>
    <col min="3592" max="3592" width="11.28515625" style="6" customWidth="1"/>
    <col min="3593" max="3593" width="4" style="6" customWidth="1"/>
    <col min="3594" max="3594" width="7" style="6" customWidth="1"/>
    <col min="3595" max="3595" width="33.140625" style="6" customWidth="1"/>
    <col min="3596" max="3596" width="3.85546875" style="6" customWidth="1"/>
    <col min="3597" max="3597" width="5.42578125" style="6" customWidth="1"/>
    <col min="3598" max="3598" width="2.42578125" style="6" customWidth="1"/>
    <col min="3599" max="3840" width="9.140625" style="6"/>
    <col min="3841" max="3841" width="6.7109375" style="6" customWidth="1"/>
    <col min="3842" max="3842" width="3.28515625" style="6" customWidth="1"/>
    <col min="3843" max="3843" width="3.7109375" style="6" customWidth="1"/>
    <col min="3844" max="3844" width="5.28515625" style="6" customWidth="1"/>
    <col min="3845" max="3845" width="3.140625" style="6" customWidth="1"/>
    <col min="3846" max="3846" width="4" style="6" customWidth="1"/>
    <col min="3847" max="3847" width="29.28515625" style="6" customWidth="1"/>
    <col min="3848" max="3848" width="11.28515625" style="6" customWidth="1"/>
    <col min="3849" max="3849" width="4" style="6" customWidth="1"/>
    <col min="3850" max="3850" width="7" style="6" customWidth="1"/>
    <col min="3851" max="3851" width="33.140625" style="6" customWidth="1"/>
    <col min="3852" max="3852" width="3.85546875" style="6" customWidth="1"/>
    <col min="3853" max="3853" width="5.42578125" style="6" customWidth="1"/>
    <col min="3854" max="3854" width="2.42578125" style="6" customWidth="1"/>
    <col min="3855" max="4096" width="9.140625" style="6"/>
    <col min="4097" max="4097" width="6.7109375" style="6" customWidth="1"/>
    <col min="4098" max="4098" width="3.28515625" style="6" customWidth="1"/>
    <col min="4099" max="4099" width="3.7109375" style="6" customWidth="1"/>
    <col min="4100" max="4100" width="5.28515625" style="6" customWidth="1"/>
    <col min="4101" max="4101" width="3.140625" style="6" customWidth="1"/>
    <col min="4102" max="4102" width="4" style="6" customWidth="1"/>
    <col min="4103" max="4103" width="29.28515625" style="6" customWidth="1"/>
    <col min="4104" max="4104" width="11.28515625" style="6" customWidth="1"/>
    <col min="4105" max="4105" width="4" style="6" customWidth="1"/>
    <col min="4106" max="4106" width="7" style="6" customWidth="1"/>
    <col min="4107" max="4107" width="33.140625" style="6" customWidth="1"/>
    <col min="4108" max="4108" width="3.85546875" style="6" customWidth="1"/>
    <col min="4109" max="4109" width="5.42578125" style="6" customWidth="1"/>
    <col min="4110" max="4110" width="2.42578125" style="6" customWidth="1"/>
    <col min="4111" max="4352" width="9.140625" style="6"/>
    <col min="4353" max="4353" width="6.7109375" style="6" customWidth="1"/>
    <col min="4354" max="4354" width="3.28515625" style="6" customWidth="1"/>
    <col min="4355" max="4355" width="3.7109375" style="6" customWidth="1"/>
    <col min="4356" max="4356" width="5.28515625" style="6" customWidth="1"/>
    <col min="4357" max="4357" width="3.140625" style="6" customWidth="1"/>
    <col min="4358" max="4358" width="4" style="6" customWidth="1"/>
    <col min="4359" max="4359" width="29.28515625" style="6" customWidth="1"/>
    <col min="4360" max="4360" width="11.28515625" style="6" customWidth="1"/>
    <col min="4361" max="4361" width="4" style="6" customWidth="1"/>
    <col min="4362" max="4362" width="7" style="6" customWidth="1"/>
    <col min="4363" max="4363" width="33.140625" style="6" customWidth="1"/>
    <col min="4364" max="4364" width="3.85546875" style="6" customWidth="1"/>
    <col min="4365" max="4365" width="5.42578125" style="6" customWidth="1"/>
    <col min="4366" max="4366" width="2.42578125" style="6" customWidth="1"/>
    <col min="4367" max="4608" width="9.140625" style="6"/>
    <col min="4609" max="4609" width="6.7109375" style="6" customWidth="1"/>
    <col min="4610" max="4610" width="3.28515625" style="6" customWidth="1"/>
    <col min="4611" max="4611" width="3.7109375" style="6" customWidth="1"/>
    <col min="4612" max="4612" width="5.28515625" style="6" customWidth="1"/>
    <col min="4613" max="4613" width="3.140625" style="6" customWidth="1"/>
    <col min="4614" max="4614" width="4" style="6" customWidth="1"/>
    <col min="4615" max="4615" width="29.28515625" style="6" customWidth="1"/>
    <col min="4616" max="4616" width="11.28515625" style="6" customWidth="1"/>
    <col min="4617" max="4617" width="4" style="6" customWidth="1"/>
    <col min="4618" max="4618" width="7" style="6" customWidth="1"/>
    <col min="4619" max="4619" width="33.140625" style="6" customWidth="1"/>
    <col min="4620" max="4620" width="3.85546875" style="6" customWidth="1"/>
    <col min="4621" max="4621" width="5.42578125" style="6" customWidth="1"/>
    <col min="4622" max="4622" width="2.42578125" style="6" customWidth="1"/>
    <col min="4623" max="4864" width="9.140625" style="6"/>
    <col min="4865" max="4865" width="6.7109375" style="6" customWidth="1"/>
    <col min="4866" max="4866" width="3.28515625" style="6" customWidth="1"/>
    <col min="4867" max="4867" width="3.7109375" style="6" customWidth="1"/>
    <col min="4868" max="4868" width="5.28515625" style="6" customWidth="1"/>
    <col min="4869" max="4869" width="3.140625" style="6" customWidth="1"/>
    <col min="4870" max="4870" width="4" style="6" customWidth="1"/>
    <col min="4871" max="4871" width="29.28515625" style="6" customWidth="1"/>
    <col min="4872" max="4872" width="11.28515625" style="6" customWidth="1"/>
    <col min="4873" max="4873" width="4" style="6" customWidth="1"/>
    <col min="4874" max="4874" width="7" style="6" customWidth="1"/>
    <col min="4875" max="4875" width="33.140625" style="6" customWidth="1"/>
    <col min="4876" max="4876" width="3.85546875" style="6" customWidth="1"/>
    <col min="4877" max="4877" width="5.42578125" style="6" customWidth="1"/>
    <col min="4878" max="4878" width="2.42578125" style="6" customWidth="1"/>
    <col min="4879" max="5120" width="9.140625" style="6"/>
    <col min="5121" max="5121" width="6.7109375" style="6" customWidth="1"/>
    <col min="5122" max="5122" width="3.28515625" style="6" customWidth="1"/>
    <col min="5123" max="5123" width="3.7109375" style="6" customWidth="1"/>
    <col min="5124" max="5124" width="5.28515625" style="6" customWidth="1"/>
    <col min="5125" max="5125" width="3.140625" style="6" customWidth="1"/>
    <col min="5126" max="5126" width="4" style="6" customWidth="1"/>
    <col min="5127" max="5127" width="29.28515625" style="6" customWidth="1"/>
    <col min="5128" max="5128" width="11.28515625" style="6" customWidth="1"/>
    <col min="5129" max="5129" width="4" style="6" customWidth="1"/>
    <col min="5130" max="5130" width="7" style="6" customWidth="1"/>
    <col min="5131" max="5131" width="33.140625" style="6" customWidth="1"/>
    <col min="5132" max="5132" width="3.85546875" style="6" customWidth="1"/>
    <col min="5133" max="5133" width="5.42578125" style="6" customWidth="1"/>
    <col min="5134" max="5134" width="2.42578125" style="6" customWidth="1"/>
    <col min="5135" max="5376" width="9.140625" style="6"/>
    <col min="5377" max="5377" width="6.7109375" style="6" customWidth="1"/>
    <col min="5378" max="5378" width="3.28515625" style="6" customWidth="1"/>
    <col min="5379" max="5379" width="3.7109375" style="6" customWidth="1"/>
    <col min="5380" max="5380" width="5.28515625" style="6" customWidth="1"/>
    <col min="5381" max="5381" width="3.140625" style="6" customWidth="1"/>
    <col min="5382" max="5382" width="4" style="6" customWidth="1"/>
    <col min="5383" max="5383" width="29.28515625" style="6" customWidth="1"/>
    <col min="5384" max="5384" width="11.28515625" style="6" customWidth="1"/>
    <col min="5385" max="5385" width="4" style="6" customWidth="1"/>
    <col min="5386" max="5386" width="7" style="6" customWidth="1"/>
    <col min="5387" max="5387" width="33.140625" style="6" customWidth="1"/>
    <col min="5388" max="5388" width="3.85546875" style="6" customWidth="1"/>
    <col min="5389" max="5389" width="5.42578125" style="6" customWidth="1"/>
    <col min="5390" max="5390" width="2.42578125" style="6" customWidth="1"/>
    <col min="5391" max="5632" width="9.140625" style="6"/>
    <col min="5633" max="5633" width="6.7109375" style="6" customWidth="1"/>
    <col min="5634" max="5634" width="3.28515625" style="6" customWidth="1"/>
    <col min="5635" max="5635" width="3.7109375" style="6" customWidth="1"/>
    <col min="5636" max="5636" width="5.28515625" style="6" customWidth="1"/>
    <col min="5637" max="5637" width="3.140625" style="6" customWidth="1"/>
    <col min="5638" max="5638" width="4" style="6" customWidth="1"/>
    <col min="5639" max="5639" width="29.28515625" style="6" customWidth="1"/>
    <col min="5640" max="5640" width="11.28515625" style="6" customWidth="1"/>
    <col min="5641" max="5641" width="4" style="6" customWidth="1"/>
    <col min="5642" max="5642" width="7" style="6" customWidth="1"/>
    <col min="5643" max="5643" width="33.140625" style="6" customWidth="1"/>
    <col min="5644" max="5644" width="3.85546875" style="6" customWidth="1"/>
    <col min="5645" max="5645" width="5.42578125" style="6" customWidth="1"/>
    <col min="5646" max="5646" width="2.42578125" style="6" customWidth="1"/>
    <col min="5647" max="5888" width="9.140625" style="6"/>
    <col min="5889" max="5889" width="6.7109375" style="6" customWidth="1"/>
    <col min="5890" max="5890" width="3.28515625" style="6" customWidth="1"/>
    <col min="5891" max="5891" width="3.7109375" style="6" customWidth="1"/>
    <col min="5892" max="5892" width="5.28515625" style="6" customWidth="1"/>
    <col min="5893" max="5893" width="3.140625" style="6" customWidth="1"/>
    <col min="5894" max="5894" width="4" style="6" customWidth="1"/>
    <col min="5895" max="5895" width="29.28515625" style="6" customWidth="1"/>
    <col min="5896" max="5896" width="11.28515625" style="6" customWidth="1"/>
    <col min="5897" max="5897" width="4" style="6" customWidth="1"/>
    <col min="5898" max="5898" width="7" style="6" customWidth="1"/>
    <col min="5899" max="5899" width="33.140625" style="6" customWidth="1"/>
    <col min="5900" max="5900" width="3.85546875" style="6" customWidth="1"/>
    <col min="5901" max="5901" width="5.42578125" style="6" customWidth="1"/>
    <col min="5902" max="5902" width="2.42578125" style="6" customWidth="1"/>
    <col min="5903" max="6144" width="9.140625" style="6"/>
    <col min="6145" max="6145" width="6.7109375" style="6" customWidth="1"/>
    <col min="6146" max="6146" width="3.28515625" style="6" customWidth="1"/>
    <col min="6147" max="6147" width="3.7109375" style="6" customWidth="1"/>
    <col min="6148" max="6148" width="5.28515625" style="6" customWidth="1"/>
    <col min="6149" max="6149" width="3.140625" style="6" customWidth="1"/>
    <col min="6150" max="6150" width="4" style="6" customWidth="1"/>
    <col min="6151" max="6151" width="29.28515625" style="6" customWidth="1"/>
    <col min="6152" max="6152" width="11.28515625" style="6" customWidth="1"/>
    <col min="6153" max="6153" width="4" style="6" customWidth="1"/>
    <col min="6154" max="6154" width="7" style="6" customWidth="1"/>
    <col min="6155" max="6155" width="33.140625" style="6" customWidth="1"/>
    <col min="6156" max="6156" width="3.85546875" style="6" customWidth="1"/>
    <col min="6157" max="6157" width="5.42578125" style="6" customWidth="1"/>
    <col min="6158" max="6158" width="2.42578125" style="6" customWidth="1"/>
    <col min="6159" max="6400" width="9.140625" style="6"/>
    <col min="6401" max="6401" width="6.7109375" style="6" customWidth="1"/>
    <col min="6402" max="6402" width="3.28515625" style="6" customWidth="1"/>
    <col min="6403" max="6403" width="3.7109375" style="6" customWidth="1"/>
    <col min="6404" max="6404" width="5.28515625" style="6" customWidth="1"/>
    <col min="6405" max="6405" width="3.140625" style="6" customWidth="1"/>
    <col min="6406" max="6406" width="4" style="6" customWidth="1"/>
    <col min="6407" max="6407" width="29.28515625" style="6" customWidth="1"/>
    <col min="6408" max="6408" width="11.28515625" style="6" customWidth="1"/>
    <col min="6409" max="6409" width="4" style="6" customWidth="1"/>
    <col min="6410" max="6410" width="7" style="6" customWidth="1"/>
    <col min="6411" max="6411" width="33.140625" style="6" customWidth="1"/>
    <col min="6412" max="6412" width="3.85546875" style="6" customWidth="1"/>
    <col min="6413" max="6413" width="5.42578125" style="6" customWidth="1"/>
    <col min="6414" max="6414" width="2.42578125" style="6" customWidth="1"/>
    <col min="6415" max="6656" width="9.140625" style="6"/>
    <col min="6657" max="6657" width="6.7109375" style="6" customWidth="1"/>
    <col min="6658" max="6658" width="3.28515625" style="6" customWidth="1"/>
    <col min="6659" max="6659" width="3.7109375" style="6" customWidth="1"/>
    <col min="6660" max="6660" width="5.28515625" style="6" customWidth="1"/>
    <col min="6661" max="6661" width="3.140625" style="6" customWidth="1"/>
    <col min="6662" max="6662" width="4" style="6" customWidth="1"/>
    <col min="6663" max="6663" width="29.28515625" style="6" customWidth="1"/>
    <col min="6664" max="6664" width="11.28515625" style="6" customWidth="1"/>
    <col min="6665" max="6665" width="4" style="6" customWidth="1"/>
    <col min="6666" max="6666" width="7" style="6" customWidth="1"/>
    <col min="6667" max="6667" width="33.140625" style="6" customWidth="1"/>
    <col min="6668" max="6668" width="3.85546875" style="6" customWidth="1"/>
    <col min="6669" max="6669" width="5.42578125" style="6" customWidth="1"/>
    <col min="6670" max="6670" width="2.42578125" style="6" customWidth="1"/>
    <col min="6671" max="6912" width="9.140625" style="6"/>
    <col min="6913" max="6913" width="6.7109375" style="6" customWidth="1"/>
    <col min="6914" max="6914" width="3.28515625" style="6" customWidth="1"/>
    <col min="6915" max="6915" width="3.7109375" style="6" customWidth="1"/>
    <col min="6916" max="6916" width="5.28515625" style="6" customWidth="1"/>
    <col min="6917" max="6917" width="3.140625" style="6" customWidth="1"/>
    <col min="6918" max="6918" width="4" style="6" customWidth="1"/>
    <col min="6919" max="6919" width="29.28515625" style="6" customWidth="1"/>
    <col min="6920" max="6920" width="11.28515625" style="6" customWidth="1"/>
    <col min="6921" max="6921" width="4" style="6" customWidth="1"/>
    <col min="6922" max="6922" width="7" style="6" customWidth="1"/>
    <col min="6923" max="6923" width="33.140625" style="6" customWidth="1"/>
    <col min="6924" max="6924" width="3.85546875" style="6" customWidth="1"/>
    <col min="6925" max="6925" width="5.42578125" style="6" customWidth="1"/>
    <col min="6926" max="6926" width="2.42578125" style="6" customWidth="1"/>
    <col min="6927" max="7168" width="9.140625" style="6"/>
    <col min="7169" max="7169" width="6.7109375" style="6" customWidth="1"/>
    <col min="7170" max="7170" width="3.28515625" style="6" customWidth="1"/>
    <col min="7171" max="7171" width="3.7109375" style="6" customWidth="1"/>
    <col min="7172" max="7172" width="5.28515625" style="6" customWidth="1"/>
    <col min="7173" max="7173" width="3.140625" style="6" customWidth="1"/>
    <col min="7174" max="7174" width="4" style="6" customWidth="1"/>
    <col min="7175" max="7175" width="29.28515625" style="6" customWidth="1"/>
    <col min="7176" max="7176" width="11.28515625" style="6" customWidth="1"/>
    <col min="7177" max="7177" width="4" style="6" customWidth="1"/>
    <col min="7178" max="7178" width="7" style="6" customWidth="1"/>
    <col min="7179" max="7179" width="33.140625" style="6" customWidth="1"/>
    <col min="7180" max="7180" width="3.85546875" style="6" customWidth="1"/>
    <col min="7181" max="7181" width="5.42578125" style="6" customWidth="1"/>
    <col min="7182" max="7182" width="2.42578125" style="6" customWidth="1"/>
    <col min="7183" max="7424" width="9.140625" style="6"/>
    <col min="7425" max="7425" width="6.7109375" style="6" customWidth="1"/>
    <col min="7426" max="7426" width="3.28515625" style="6" customWidth="1"/>
    <col min="7427" max="7427" width="3.7109375" style="6" customWidth="1"/>
    <col min="7428" max="7428" width="5.28515625" style="6" customWidth="1"/>
    <col min="7429" max="7429" width="3.140625" style="6" customWidth="1"/>
    <col min="7430" max="7430" width="4" style="6" customWidth="1"/>
    <col min="7431" max="7431" width="29.28515625" style="6" customWidth="1"/>
    <col min="7432" max="7432" width="11.28515625" style="6" customWidth="1"/>
    <col min="7433" max="7433" width="4" style="6" customWidth="1"/>
    <col min="7434" max="7434" width="7" style="6" customWidth="1"/>
    <col min="7435" max="7435" width="33.140625" style="6" customWidth="1"/>
    <col min="7436" max="7436" width="3.85546875" style="6" customWidth="1"/>
    <col min="7437" max="7437" width="5.42578125" style="6" customWidth="1"/>
    <col min="7438" max="7438" width="2.42578125" style="6" customWidth="1"/>
    <col min="7439" max="7680" width="9.140625" style="6"/>
    <col min="7681" max="7681" width="6.7109375" style="6" customWidth="1"/>
    <col min="7682" max="7682" width="3.28515625" style="6" customWidth="1"/>
    <col min="7683" max="7683" width="3.7109375" style="6" customWidth="1"/>
    <col min="7684" max="7684" width="5.28515625" style="6" customWidth="1"/>
    <col min="7685" max="7685" width="3.140625" style="6" customWidth="1"/>
    <col min="7686" max="7686" width="4" style="6" customWidth="1"/>
    <col min="7687" max="7687" width="29.28515625" style="6" customWidth="1"/>
    <col min="7688" max="7688" width="11.28515625" style="6" customWidth="1"/>
    <col min="7689" max="7689" width="4" style="6" customWidth="1"/>
    <col min="7690" max="7690" width="7" style="6" customWidth="1"/>
    <col min="7691" max="7691" width="33.140625" style="6" customWidth="1"/>
    <col min="7692" max="7692" width="3.85546875" style="6" customWidth="1"/>
    <col min="7693" max="7693" width="5.42578125" style="6" customWidth="1"/>
    <col min="7694" max="7694" width="2.42578125" style="6" customWidth="1"/>
    <col min="7695" max="7936" width="9.140625" style="6"/>
    <col min="7937" max="7937" width="6.7109375" style="6" customWidth="1"/>
    <col min="7938" max="7938" width="3.28515625" style="6" customWidth="1"/>
    <col min="7939" max="7939" width="3.7109375" style="6" customWidth="1"/>
    <col min="7940" max="7940" width="5.28515625" style="6" customWidth="1"/>
    <col min="7941" max="7941" width="3.140625" style="6" customWidth="1"/>
    <col min="7942" max="7942" width="4" style="6" customWidth="1"/>
    <col min="7943" max="7943" width="29.28515625" style="6" customWidth="1"/>
    <col min="7944" max="7944" width="11.28515625" style="6" customWidth="1"/>
    <col min="7945" max="7945" width="4" style="6" customWidth="1"/>
    <col min="7946" max="7946" width="7" style="6" customWidth="1"/>
    <col min="7947" max="7947" width="33.140625" style="6" customWidth="1"/>
    <col min="7948" max="7948" width="3.85546875" style="6" customWidth="1"/>
    <col min="7949" max="7949" width="5.42578125" style="6" customWidth="1"/>
    <col min="7950" max="7950" width="2.42578125" style="6" customWidth="1"/>
    <col min="7951" max="8192" width="9.140625" style="6"/>
    <col min="8193" max="8193" width="6.7109375" style="6" customWidth="1"/>
    <col min="8194" max="8194" width="3.28515625" style="6" customWidth="1"/>
    <col min="8195" max="8195" width="3.7109375" style="6" customWidth="1"/>
    <col min="8196" max="8196" width="5.28515625" style="6" customWidth="1"/>
    <col min="8197" max="8197" width="3.140625" style="6" customWidth="1"/>
    <col min="8198" max="8198" width="4" style="6" customWidth="1"/>
    <col min="8199" max="8199" width="29.28515625" style="6" customWidth="1"/>
    <col min="8200" max="8200" width="11.28515625" style="6" customWidth="1"/>
    <col min="8201" max="8201" width="4" style="6" customWidth="1"/>
    <col min="8202" max="8202" width="7" style="6" customWidth="1"/>
    <col min="8203" max="8203" width="33.140625" style="6" customWidth="1"/>
    <col min="8204" max="8204" width="3.85546875" style="6" customWidth="1"/>
    <col min="8205" max="8205" width="5.42578125" style="6" customWidth="1"/>
    <col min="8206" max="8206" width="2.42578125" style="6" customWidth="1"/>
    <col min="8207" max="8448" width="9.140625" style="6"/>
    <col min="8449" max="8449" width="6.7109375" style="6" customWidth="1"/>
    <col min="8450" max="8450" width="3.28515625" style="6" customWidth="1"/>
    <col min="8451" max="8451" width="3.7109375" style="6" customWidth="1"/>
    <col min="8452" max="8452" width="5.28515625" style="6" customWidth="1"/>
    <col min="8453" max="8453" width="3.140625" style="6" customWidth="1"/>
    <col min="8454" max="8454" width="4" style="6" customWidth="1"/>
    <col min="8455" max="8455" width="29.28515625" style="6" customWidth="1"/>
    <col min="8456" max="8456" width="11.28515625" style="6" customWidth="1"/>
    <col min="8457" max="8457" width="4" style="6" customWidth="1"/>
    <col min="8458" max="8458" width="7" style="6" customWidth="1"/>
    <col min="8459" max="8459" width="33.140625" style="6" customWidth="1"/>
    <col min="8460" max="8460" width="3.85546875" style="6" customWidth="1"/>
    <col min="8461" max="8461" width="5.42578125" style="6" customWidth="1"/>
    <col min="8462" max="8462" width="2.42578125" style="6" customWidth="1"/>
    <col min="8463" max="8704" width="9.140625" style="6"/>
    <col min="8705" max="8705" width="6.7109375" style="6" customWidth="1"/>
    <col min="8706" max="8706" width="3.28515625" style="6" customWidth="1"/>
    <col min="8707" max="8707" width="3.7109375" style="6" customWidth="1"/>
    <col min="8708" max="8708" width="5.28515625" style="6" customWidth="1"/>
    <col min="8709" max="8709" width="3.140625" style="6" customWidth="1"/>
    <col min="8710" max="8710" width="4" style="6" customWidth="1"/>
    <col min="8711" max="8711" width="29.28515625" style="6" customWidth="1"/>
    <col min="8712" max="8712" width="11.28515625" style="6" customWidth="1"/>
    <col min="8713" max="8713" width="4" style="6" customWidth="1"/>
    <col min="8714" max="8714" width="7" style="6" customWidth="1"/>
    <col min="8715" max="8715" width="33.140625" style="6" customWidth="1"/>
    <col min="8716" max="8716" width="3.85546875" style="6" customWidth="1"/>
    <col min="8717" max="8717" width="5.42578125" style="6" customWidth="1"/>
    <col min="8718" max="8718" width="2.42578125" style="6" customWidth="1"/>
    <col min="8719" max="8960" width="9.140625" style="6"/>
    <col min="8961" max="8961" width="6.7109375" style="6" customWidth="1"/>
    <col min="8962" max="8962" width="3.28515625" style="6" customWidth="1"/>
    <col min="8963" max="8963" width="3.7109375" style="6" customWidth="1"/>
    <col min="8964" max="8964" width="5.28515625" style="6" customWidth="1"/>
    <col min="8965" max="8965" width="3.140625" style="6" customWidth="1"/>
    <col min="8966" max="8966" width="4" style="6" customWidth="1"/>
    <col min="8967" max="8967" width="29.28515625" style="6" customWidth="1"/>
    <col min="8968" max="8968" width="11.28515625" style="6" customWidth="1"/>
    <col min="8969" max="8969" width="4" style="6" customWidth="1"/>
    <col min="8970" max="8970" width="7" style="6" customWidth="1"/>
    <col min="8971" max="8971" width="33.140625" style="6" customWidth="1"/>
    <col min="8972" max="8972" width="3.85546875" style="6" customWidth="1"/>
    <col min="8973" max="8973" width="5.42578125" style="6" customWidth="1"/>
    <col min="8974" max="8974" width="2.42578125" style="6" customWidth="1"/>
    <col min="8975" max="9216" width="9.140625" style="6"/>
    <col min="9217" max="9217" width="6.7109375" style="6" customWidth="1"/>
    <col min="9218" max="9218" width="3.28515625" style="6" customWidth="1"/>
    <col min="9219" max="9219" width="3.7109375" style="6" customWidth="1"/>
    <col min="9220" max="9220" width="5.28515625" style="6" customWidth="1"/>
    <col min="9221" max="9221" width="3.140625" style="6" customWidth="1"/>
    <col min="9222" max="9222" width="4" style="6" customWidth="1"/>
    <col min="9223" max="9223" width="29.28515625" style="6" customWidth="1"/>
    <col min="9224" max="9224" width="11.28515625" style="6" customWidth="1"/>
    <col min="9225" max="9225" width="4" style="6" customWidth="1"/>
    <col min="9226" max="9226" width="7" style="6" customWidth="1"/>
    <col min="9227" max="9227" width="33.140625" style="6" customWidth="1"/>
    <col min="9228" max="9228" width="3.85546875" style="6" customWidth="1"/>
    <col min="9229" max="9229" width="5.42578125" style="6" customWidth="1"/>
    <col min="9230" max="9230" width="2.42578125" style="6" customWidth="1"/>
    <col min="9231" max="9472" width="9.140625" style="6"/>
    <col min="9473" max="9473" width="6.7109375" style="6" customWidth="1"/>
    <col min="9474" max="9474" width="3.28515625" style="6" customWidth="1"/>
    <col min="9475" max="9475" width="3.7109375" style="6" customWidth="1"/>
    <col min="9476" max="9476" width="5.28515625" style="6" customWidth="1"/>
    <col min="9477" max="9477" width="3.140625" style="6" customWidth="1"/>
    <col min="9478" max="9478" width="4" style="6" customWidth="1"/>
    <col min="9479" max="9479" width="29.28515625" style="6" customWidth="1"/>
    <col min="9480" max="9480" width="11.28515625" style="6" customWidth="1"/>
    <col min="9481" max="9481" width="4" style="6" customWidth="1"/>
    <col min="9482" max="9482" width="7" style="6" customWidth="1"/>
    <col min="9483" max="9483" width="33.140625" style="6" customWidth="1"/>
    <col min="9484" max="9484" width="3.85546875" style="6" customWidth="1"/>
    <col min="9485" max="9485" width="5.42578125" style="6" customWidth="1"/>
    <col min="9486" max="9486" width="2.42578125" style="6" customWidth="1"/>
    <col min="9487" max="9728" width="9.140625" style="6"/>
    <col min="9729" max="9729" width="6.7109375" style="6" customWidth="1"/>
    <col min="9730" max="9730" width="3.28515625" style="6" customWidth="1"/>
    <col min="9731" max="9731" width="3.7109375" style="6" customWidth="1"/>
    <col min="9732" max="9732" width="5.28515625" style="6" customWidth="1"/>
    <col min="9733" max="9733" width="3.140625" style="6" customWidth="1"/>
    <col min="9734" max="9734" width="4" style="6" customWidth="1"/>
    <col min="9735" max="9735" width="29.28515625" style="6" customWidth="1"/>
    <col min="9736" max="9736" width="11.28515625" style="6" customWidth="1"/>
    <col min="9737" max="9737" width="4" style="6" customWidth="1"/>
    <col min="9738" max="9738" width="7" style="6" customWidth="1"/>
    <col min="9739" max="9739" width="33.140625" style="6" customWidth="1"/>
    <col min="9740" max="9740" width="3.85546875" style="6" customWidth="1"/>
    <col min="9741" max="9741" width="5.42578125" style="6" customWidth="1"/>
    <col min="9742" max="9742" width="2.42578125" style="6" customWidth="1"/>
    <col min="9743" max="9984" width="9.140625" style="6"/>
    <col min="9985" max="9985" width="6.7109375" style="6" customWidth="1"/>
    <col min="9986" max="9986" width="3.28515625" style="6" customWidth="1"/>
    <col min="9987" max="9987" width="3.7109375" style="6" customWidth="1"/>
    <col min="9988" max="9988" width="5.28515625" style="6" customWidth="1"/>
    <col min="9989" max="9989" width="3.140625" style="6" customWidth="1"/>
    <col min="9990" max="9990" width="4" style="6" customWidth="1"/>
    <col min="9991" max="9991" width="29.28515625" style="6" customWidth="1"/>
    <col min="9992" max="9992" width="11.28515625" style="6" customWidth="1"/>
    <col min="9993" max="9993" width="4" style="6" customWidth="1"/>
    <col min="9994" max="9994" width="7" style="6" customWidth="1"/>
    <col min="9995" max="9995" width="33.140625" style="6" customWidth="1"/>
    <col min="9996" max="9996" width="3.85546875" style="6" customWidth="1"/>
    <col min="9997" max="9997" width="5.42578125" style="6" customWidth="1"/>
    <col min="9998" max="9998" width="2.42578125" style="6" customWidth="1"/>
    <col min="9999" max="10240" width="9.140625" style="6"/>
    <col min="10241" max="10241" width="6.7109375" style="6" customWidth="1"/>
    <col min="10242" max="10242" width="3.28515625" style="6" customWidth="1"/>
    <col min="10243" max="10243" width="3.7109375" style="6" customWidth="1"/>
    <col min="10244" max="10244" width="5.28515625" style="6" customWidth="1"/>
    <col min="10245" max="10245" width="3.140625" style="6" customWidth="1"/>
    <col min="10246" max="10246" width="4" style="6" customWidth="1"/>
    <col min="10247" max="10247" width="29.28515625" style="6" customWidth="1"/>
    <col min="10248" max="10248" width="11.28515625" style="6" customWidth="1"/>
    <col min="10249" max="10249" width="4" style="6" customWidth="1"/>
    <col min="10250" max="10250" width="7" style="6" customWidth="1"/>
    <col min="10251" max="10251" width="33.140625" style="6" customWidth="1"/>
    <col min="10252" max="10252" width="3.85546875" style="6" customWidth="1"/>
    <col min="10253" max="10253" width="5.42578125" style="6" customWidth="1"/>
    <col min="10254" max="10254" width="2.42578125" style="6" customWidth="1"/>
    <col min="10255" max="10496" width="9.140625" style="6"/>
    <col min="10497" max="10497" width="6.7109375" style="6" customWidth="1"/>
    <col min="10498" max="10498" width="3.28515625" style="6" customWidth="1"/>
    <col min="10499" max="10499" width="3.7109375" style="6" customWidth="1"/>
    <col min="10500" max="10500" width="5.28515625" style="6" customWidth="1"/>
    <col min="10501" max="10501" width="3.140625" style="6" customWidth="1"/>
    <col min="10502" max="10502" width="4" style="6" customWidth="1"/>
    <col min="10503" max="10503" width="29.28515625" style="6" customWidth="1"/>
    <col min="10504" max="10504" width="11.28515625" style="6" customWidth="1"/>
    <col min="10505" max="10505" width="4" style="6" customWidth="1"/>
    <col min="10506" max="10506" width="7" style="6" customWidth="1"/>
    <col min="10507" max="10507" width="33.140625" style="6" customWidth="1"/>
    <col min="10508" max="10508" width="3.85546875" style="6" customWidth="1"/>
    <col min="10509" max="10509" width="5.42578125" style="6" customWidth="1"/>
    <col min="10510" max="10510" width="2.42578125" style="6" customWidth="1"/>
    <col min="10511" max="10752" width="9.140625" style="6"/>
    <col min="10753" max="10753" width="6.7109375" style="6" customWidth="1"/>
    <col min="10754" max="10754" width="3.28515625" style="6" customWidth="1"/>
    <col min="10755" max="10755" width="3.7109375" style="6" customWidth="1"/>
    <col min="10756" max="10756" width="5.28515625" style="6" customWidth="1"/>
    <col min="10757" max="10757" width="3.140625" style="6" customWidth="1"/>
    <col min="10758" max="10758" width="4" style="6" customWidth="1"/>
    <col min="10759" max="10759" width="29.28515625" style="6" customWidth="1"/>
    <col min="10760" max="10760" width="11.28515625" style="6" customWidth="1"/>
    <col min="10761" max="10761" width="4" style="6" customWidth="1"/>
    <col min="10762" max="10762" width="7" style="6" customWidth="1"/>
    <col min="10763" max="10763" width="33.140625" style="6" customWidth="1"/>
    <col min="10764" max="10764" width="3.85546875" style="6" customWidth="1"/>
    <col min="10765" max="10765" width="5.42578125" style="6" customWidth="1"/>
    <col min="10766" max="10766" width="2.42578125" style="6" customWidth="1"/>
    <col min="10767" max="11008" width="9.140625" style="6"/>
    <col min="11009" max="11009" width="6.7109375" style="6" customWidth="1"/>
    <col min="11010" max="11010" width="3.28515625" style="6" customWidth="1"/>
    <col min="11011" max="11011" width="3.7109375" style="6" customWidth="1"/>
    <col min="11012" max="11012" width="5.28515625" style="6" customWidth="1"/>
    <col min="11013" max="11013" width="3.140625" style="6" customWidth="1"/>
    <col min="11014" max="11014" width="4" style="6" customWidth="1"/>
    <col min="11015" max="11015" width="29.28515625" style="6" customWidth="1"/>
    <col min="11016" max="11016" width="11.28515625" style="6" customWidth="1"/>
    <col min="11017" max="11017" width="4" style="6" customWidth="1"/>
    <col min="11018" max="11018" width="7" style="6" customWidth="1"/>
    <col min="11019" max="11019" width="33.140625" style="6" customWidth="1"/>
    <col min="11020" max="11020" width="3.85546875" style="6" customWidth="1"/>
    <col min="11021" max="11021" width="5.42578125" style="6" customWidth="1"/>
    <col min="11022" max="11022" width="2.42578125" style="6" customWidth="1"/>
    <col min="11023" max="11264" width="9.140625" style="6"/>
    <col min="11265" max="11265" width="6.7109375" style="6" customWidth="1"/>
    <col min="11266" max="11266" width="3.28515625" style="6" customWidth="1"/>
    <col min="11267" max="11267" width="3.7109375" style="6" customWidth="1"/>
    <col min="11268" max="11268" width="5.28515625" style="6" customWidth="1"/>
    <col min="11269" max="11269" width="3.140625" style="6" customWidth="1"/>
    <col min="11270" max="11270" width="4" style="6" customWidth="1"/>
    <col min="11271" max="11271" width="29.28515625" style="6" customWidth="1"/>
    <col min="11272" max="11272" width="11.28515625" style="6" customWidth="1"/>
    <col min="11273" max="11273" width="4" style="6" customWidth="1"/>
    <col min="11274" max="11274" width="7" style="6" customWidth="1"/>
    <col min="11275" max="11275" width="33.140625" style="6" customWidth="1"/>
    <col min="11276" max="11276" width="3.85546875" style="6" customWidth="1"/>
    <col min="11277" max="11277" width="5.42578125" style="6" customWidth="1"/>
    <col min="11278" max="11278" width="2.42578125" style="6" customWidth="1"/>
    <col min="11279" max="11520" width="9.140625" style="6"/>
    <col min="11521" max="11521" width="6.7109375" style="6" customWidth="1"/>
    <col min="11522" max="11522" width="3.28515625" style="6" customWidth="1"/>
    <col min="11523" max="11523" width="3.7109375" style="6" customWidth="1"/>
    <col min="11524" max="11524" width="5.28515625" style="6" customWidth="1"/>
    <col min="11525" max="11525" width="3.140625" style="6" customWidth="1"/>
    <col min="11526" max="11526" width="4" style="6" customWidth="1"/>
    <col min="11527" max="11527" width="29.28515625" style="6" customWidth="1"/>
    <col min="11528" max="11528" width="11.28515625" style="6" customWidth="1"/>
    <col min="11529" max="11529" width="4" style="6" customWidth="1"/>
    <col min="11530" max="11530" width="7" style="6" customWidth="1"/>
    <col min="11531" max="11531" width="33.140625" style="6" customWidth="1"/>
    <col min="11532" max="11532" width="3.85546875" style="6" customWidth="1"/>
    <col min="11533" max="11533" width="5.42578125" style="6" customWidth="1"/>
    <col min="11534" max="11534" width="2.42578125" style="6" customWidth="1"/>
    <col min="11535" max="11776" width="9.140625" style="6"/>
    <col min="11777" max="11777" width="6.7109375" style="6" customWidth="1"/>
    <col min="11778" max="11778" width="3.28515625" style="6" customWidth="1"/>
    <col min="11779" max="11779" width="3.7109375" style="6" customWidth="1"/>
    <col min="11780" max="11780" width="5.28515625" style="6" customWidth="1"/>
    <col min="11781" max="11781" width="3.140625" style="6" customWidth="1"/>
    <col min="11782" max="11782" width="4" style="6" customWidth="1"/>
    <col min="11783" max="11783" width="29.28515625" style="6" customWidth="1"/>
    <col min="11784" max="11784" width="11.28515625" style="6" customWidth="1"/>
    <col min="11785" max="11785" width="4" style="6" customWidth="1"/>
    <col min="11786" max="11786" width="7" style="6" customWidth="1"/>
    <col min="11787" max="11787" width="33.140625" style="6" customWidth="1"/>
    <col min="11788" max="11788" width="3.85546875" style="6" customWidth="1"/>
    <col min="11789" max="11789" width="5.42578125" style="6" customWidth="1"/>
    <col min="11790" max="11790" width="2.42578125" style="6" customWidth="1"/>
    <col min="11791" max="12032" width="9.140625" style="6"/>
    <col min="12033" max="12033" width="6.7109375" style="6" customWidth="1"/>
    <col min="12034" max="12034" width="3.28515625" style="6" customWidth="1"/>
    <col min="12035" max="12035" width="3.7109375" style="6" customWidth="1"/>
    <col min="12036" max="12036" width="5.28515625" style="6" customWidth="1"/>
    <col min="12037" max="12037" width="3.140625" style="6" customWidth="1"/>
    <col min="12038" max="12038" width="4" style="6" customWidth="1"/>
    <col min="12039" max="12039" width="29.28515625" style="6" customWidth="1"/>
    <col min="12040" max="12040" width="11.28515625" style="6" customWidth="1"/>
    <col min="12041" max="12041" width="4" style="6" customWidth="1"/>
    <col min="12042" max="12042" width="7" style="6" customWidth="1"/>
    <col min="12043" max="12043" width="33.140625" style="6" customWidth="1"/>
    <col min="12044" max="12044" width="3.85546875" style="6" customWidth="1"/>
    <col min="12045" max="12045" width="5.42578125" style="6" customWidth="1"/>
    <col min="12046" max="12046" width="2.42578125" style="6" customWidth="1"/>
    <col min="12047" max="12288" width="9.140625" style="6"/>
    <col min="12289" max="12289" width="6.7109375" style="6" customWidth="1"/>
    <col min="12290" max="12290" width="3.28515625" style="6" customWidth="1"/>
    <col min="12291" max="12291" width="3.7109375" style="6" customWidth="1"/>
    <col min="12292" max="12292" width="5.28515625" style="6" customWidth="1"/>
    <col min="12293" max="12293" width="3.140625" style="6" customWidth="1"/>
    <col min="12294" max="12294" width="4" style="6" customWidth="1"/>
    <col min="12295" max="12295" width="29.28515625" style="6" customWidth="1"/>
    <col min="12296" max="12296" width="11.28515625" style="6" customWidth="1"/>
    <col min="12297" max="12297" width="4" style="6" customWidth="1"/>
    <col min="12298" max="12298" width="7" style="6" customWidth="1"/>
    <col min="12299" max="12299" width="33.140625" style="6" customWidth="1"/>
    <col min="12300" max="12300" width="3.85546875" style="6" customWidth="1"/>
    <col min="12301" max="12301" width="5.42578125" style="6" customWidth="1"/>
    <col min="12302" max="12302" width="2.42578125" style="6" customWidth="1"/>
    <col min="12303" max="12544" width="9.140625" style="6"/>
    <col min="12545" max="12545" width="6.7109375" style="6" customWidth="1"/>
    <col min="12546" max="12546" width="3.28515625" style="6" customWidth="1"/>
    <col min="12547" max="12547" width="3.7109375" style="6" customWidth="1"/>
    <col min="12548" max="12548" width="5.28515625" style="6" customWidth="1"/>
    <col min="12549" max="12549" width="3.140625" style="6" customWidth="1"/>
    <col min="12550" max="12550" width="4" style="6" customWidth="1"/>
    <col min="12551" max="12551" width="29.28515625" style="6" customWidth="1"/>
    <col min="12552" max="12552" width="11.28515625" style="6" customWidth="1"/>
    <col min="12553" max="12553" width="4" style="6" customWidth="1"/>
    <col min="12554" max="12554" width="7" style="6" customWidth="1"/>
    <col min="12555" max="12555" width="33.140625" style="6" customWidth="1"/>
    <col min="12556" max="12556" width="3.85546875" style="6" customWidth="1"/>
    <col min="12557" max="12557" width="5.42578125" style="6" customWidth="1"/>
    <col min="12558" max="12558" width="2.42578125" style="6" customWidth="1"/>
    <col min="12559" max="12800" width="9.140625" style="6"/>
    <col min="12801" max="12801" width="6.7109375" style="6" customWidth="1"/>
    <col min="12802" max="12802" width="3.28515625" style="6" customWidth="1"/>
    <col min="12803" max="12803" width="3.7109375" style="6" customWidth="1"/>
    <col min="12804" max="12804" width="5.28515625" style="6" customWidth="1"/>
    <col min="12805" max="12805" width="3.140625" style="6" customWidth="1"/>
    <col min="12806" max="12806" width="4" style="6" customWidth="1"/>
    <col min="12807" max="12807" width="29.28515625" style="6" customWidth="1"/>
    <col min="12808" max="12808" width="11.28515625" style="6" customWidth="1"/>
    <col min="12809" max="12809" width="4" style="6" customWidth="1"/>
    <col min="12810" max="12810" width="7" style="6" customWidth="1"/>
    <col min="12811" max="12811" width="33.140625" style="6" customWidth="1"/>
    <col min="12812" max="12812" width="3.85546875" style="6" customWidth="1"/>
    <col min="12813" max="12813" width="5.42578125" style="6" customWidth="1"/>
    <col min="12814" max="12814" width="2.42578125" style="6" customWidth="1"/>
    <col min="12815" max="13056" width="9.140625" style="6"/>
    <col min="13057" max="13057" width="6.7109375" style="6" customWidth="1"/>
    <col min="13058" max="13058" width="3.28515625" style="6" customWidth="1"/>
    <col min="13059" max="13059" width="3.7109375" style="6" customWidth="1"/>
    <col min="13060" max="13060" width="5.28515625" style="6" customWidth="1"/>
    <col min="13061" max="13061" width="3.140625" style="6" customWidth="1"/>
    <col min="13062" max="13062" width="4" style="6" customWidth="1"/>
    <col min="13063" max="13063" width="29.28515625" style="6" customWidth="1"/>
    <col min="13064" max="13064" width="11.28515625" style="6" customWidth="1"/>
    <col min="13065" max="13065" width="4" style="6" customWidth="1"/>
    <col min="13066" max="13066" width="7" style="6" customWidth="1"/>
    <col min="13067" max="13067" width="33.140625" style="6" customWidth="1"/>
    <col min="13068" max="13068" width="3.85546875" style="6" customWidth="1"/>
    <col min="13069" max="13069" width="5.42578125" style="6" customWidth="1"/>
    <col min="13070" max="13070" width="2.42578125" style="6" customWidth="1"/>
    <col min="13071" max="13312" width="9.140625" style="6"/>
    <col min="13313" max="13313" width="6.7109375" style="6" customWidth="1"/>
    <col min="13314" max="13314" width="3.28515625" style="6" customWidth="1"/>
    <col min="13315" max="13315" width="3.7109375" style="6" customWidth="1"/>
    <col min="13316" max="13316" width="5.28515625" style="6" customWidth="1"/>
    <col min="13317" max="13317" width="3.140625" style="6" customWidth="1"/>
    <col min="13318" max="13318" width="4" style="6" customWidth="1"/>
    <col min="13319" max="13319" width="29.28515625" style="6" customWidth="1"/>
    <col min="13320" max="13320" width="11.28515625" style="6" customWidth="1"/>
    <col min="13321" max="13321" width="4" style="6" customWidth="1"/>
    <col min="13322" max="13322" width="7" style="6" customWidth="1"/>
    <col min="13323" max="13323" width="33.140625" style="6" customWidth="1"/>
    <col min="13324" max="13324" width="3.85546875" style="6" customWidth="1"/>
    <col min="13325" max="13325" width="5.42578125" style="6" customWidth="1"/>
    <col min="13326" max="13326" width="2.42578125" style="6" customWidth="1"/>
    <col min="13327" max="13568" width="9.140625" style="6"/>
    <col min="13569" max="13569" width="6.7109375" style="6" customWidth="1"/>
    <col min="13570" max="13570" width="3.28515625" style="6" customWidth="1"/>
    <col min="13571" max="13571" width="3.7109375" style="6" customWidth="1"/>
    <col min="13572" max="13572" width="5.28515625" style="6" customWidth="1"/>
    <col min="13573" max="13573" width="3.140625" style="6" customWidth="1"/>
    <col min="13574" max="13574" width="4" style="6" customWidth="1"/>
    <col min="13575" max="13575" width="29.28515625" style="6" customWidth="1"/>
    <col min="13576" max="13576" width="11.28515625" style="6" customWidth="1"/>
    <col min="13577" max="13577" width="4" style="6" customWidth="1"/>
    <col min="13578" max="13578" width="7" style="6" customWidth="1"/>
    <col min="13579" max="13579" width="33.140625" style="6" customWidth="1"/>
    <col min="13580" max="13580" width="3.85546875" style="6" customWidth="1"/>
    <col min="13581" max="13581" width="5.42578125" style="6" customWidth="1"/>
    <col min="13582" max="13582" width="2.42578125" style="6" customWidth="1"/>
    <col min="13583" max="13824" width="9.140625" style="6"/>
    <col min="13825" max="13825" width="6.7109375" style="6" customWidth="1"/>
    <col min="13826" max="13826" width="3.28515625" style="6" customWidth="1"/>
    <col min="13827" max="13827" width="3.7109375" style="6" customWidth="1"/>
    <col min="13828" max="13828" width="5.28515625" style="6" customWidth="1"/>
    <col min="13829" max="13829" width="3.140625" style="6" customWidth="1"/>
    <col min="13830" max="13830" width="4" style="6" customWidth="1"/>
    <col min="13831" max="13831" width="29.28515625" style="6" customWidth="1"/>
    <col min="13832" max="13832" width="11.28515625" style="6" customWidth="1"/>
    <col min="13833" max="13833" width="4" style="6" customWidth="1"/>
    <col min="13834" max="13834" width="7" style="6" customWidth="1"/>
    <col min="13835" max="13835" width="33.140625" style="6" customWidth="1"/>
    <col min="13836" max="13836" width="3.85546875" style="6" customWidth="1"/>
    <col min="13837" max="13837" width="5.42578125" style="6" customWidth="1"/>
    <col min="13838" max="13838" width="2.42578125" style="6" customWidth="1"/>
    <col min="13839" max="14080" width="9.140625" style="6"/>
    <col min="14081" max="14081" width="6.7109375" style="6" customWidth="1"/>
    <col min="14082" max="14082" width="3.28515625" style="6" customWidth="1"/>
    <col min="14083" max="14083" width="3.7109375" style="6" customWidth="1"/>
    <col min="14084" max="14084" width="5.28515625" style="6" customWidth="1"/>
    <col min="14085" max="14085" width="3.140625" style="6" customWidth="1"/>
    <col min="14086" max="14086" width="4" style="6" customWidth="1"/>
    <col min="14087" max="14087" width="29.28515625" style="6" customWidth="1"/>
    <col min="14088" max="14088" width="11.28515625" style="6" customWidth="1"/>
    <col min="14089" max="14089" width="4" style="6" customWidth="1"/>
    <col min="14090" max="14090" width="7" style="6" customWidth="1"/>
    <col min="14091" max="14091" width="33.140625" style="6" customWidth="1"/>
    <col min="14092" max="14092" width="3.85546875" style="6" customWidth="1"/>
    <col min="14093" max="14093" width="5.42578125" style="6" customWidth="1"/>
    <col min="14094" max="14094" width="2.42578125" style="6" customWidth="1"/>
    <col min="14095" max="14336" width="9.140625" style="6"/>
    <col min="14337" max="14337" width="6.7109375" style="6" customWidth="1"/>
    <col min="14338" max="14338" width="3.28515625" style="6" customWidth="1"/>
    <col min="14339" max="14339" width="3.7109375" style="6" customWidth="1"/>
    <col min="14340" max="14340" width="5.28515625" style="6" customWidth="1"/>
    <col min="14341" max="14341" width="3.140625" style="6" customWidth="1"/>
    <col min="14342" max="14342" width="4" style="6" customWidth="1"/>
    <col min="14343" max="14343" width="29.28515625" style="6" customWidth="1"/>
    <col min="14344" max="14344" width="11.28515625" style="6" customWidth="1"/>
    <col min="14345" max="14345" width="4" style="6" customWidth="1"/>
    <col min="14346" max="14346" width="7" style="6" customWidth="1"/>
    <col min="14347" max="14347" width="33.140625" style="6" customWidth="1"/>
    <col min="14348" max="14348" width="3.85546875" style="6" customWidth="1"/>
    <col min="14349" max="14349" width="5.42578125" style="6" customWidth="1"/>
    <col min="14350" max="14350" width="2.42578125" style="6" customWidth="1"/>
    <col min="14351" max="14592" width="9.140625" style="6"/>
    <col min="14593" max="14593" width="6.7109375" style="6" customWidth="1"/>
    <col min="14594" max="14594" width="3.28515625" style="6" customWidth="1"/>
    <col min="14595" max="14595" width="3.7109375" style="6" customWidth="1"/>
    <col min="14596" max="14596" width="5.28515625" style="6" customWidth="1"/>
    <col min="14597" max="14597" width="3.140625" style="6" customWidth="1"/>
    <col min="14598" max="14598" width="4" style="6" customWidth="1"/>
    <col min="14599" max="14599" width="29.28515625" style="6" customWidth="1"/>
    <col min="14600" max="14600" width="11.28515625" style="6" customWidth="1"/>
    <col min="14601" max="14601" width="4" style="6" customWidth="1"/>
    <col min="14602" max="14602" width="7" style="6" customWidth="1"/>
    <col min="14603" max="14603" width="33.140625" style="6" customWidth="1"/>
    <col min="14604" max="14604" width="3.85546875" style="6" customWidth="1"/>
    <col min="14605" max="14605" width="5.42578125" style="6" customWidth="1"/>
    <col min="14606" max="14606" width="2.42578125" style="6" customWidth="1"/>
    <col min="14607" max="14848" width="9.140625" style="6"/>
    <col min="14849" max="14849" width="6.7109375" style="6" customWidth="1"/>
    <col min="14850" max="14850" width="3.28515625" style="6" customWidth="1"/>
    <col min="14851" max="14851" width="3.7109375" style="6" customWidth="1"/>
    <col min="14852" max="14852" width="5.28515625" style="6" customWidth="1"/>
    <col min="14853" max="14853" width="3.140625" style="6" customWidth="1"/>
    <col min="14854" max="14854" width="4" style="6" customWidth="1"/>
    <col min="14855" max="14855" width="29.28515625" style="6" customWidth="1"/>
    <col min="14856" max="14856" width="11.28515625" style="6" customWidth="1"/>
    <col min="14857" max="14857" width="4" style="6" customWidth="1"/>
    <col min="14858" max="14858" width="7" style="6" customWidth="1"/>
    <col min="14859" max="14859" width="33.140625" style="6" customWidth="1"/>
    <col min="14860" max="14860" width="3.85546875" style="6" customWidth="1"/>
    <col min="14861" max="14861" width="5.42578125" style="6" customWidth="1"/>
    <col min="14862" max="14862" width="2.42578125" style="6" customWidth="1"/>
    <col min="14863" max="15104" width="9.140625" style="6"/>
    <col min="15105" max="15105" width="6.7109375" style="6" customWidth="1"/>
    <col min="15106" max="15106" width="3.28515625" style="6" customWidth="1"/>
    <col min="15107" max="15107" width="3.7109375" style="6" customWidth="1"/>
    <col min="15108" max="15108" width="5.28515625" style="6" customWidth="1"/>
    <col min="15109" max="15109" width="3.140625" style="6" customWidth="1"/>
    <col min="15110" max="15110" width="4" style="6" customWidth="1"/>
    <col min="15111" max="15111" width="29.28515625" style="6" customWidth="1"/>
    <col min="15112" max="15112" width="11.28515625" style="6" customWidth="1"/>
    <col min="15113" max="15113" width="4" style="6" customWidth="1"/>
    <col min="15114" max="15114" width="7" style="6" customWidth="1"/>
    <col min="15115" max="15115" width="33.140625" style="6" customWidth="1"/>
    <col min="15116" max="15116" width="3.85546875" style="6" customWidth="1"/>
    <col min="15117" max="15117" width="5.42578125" style="6" customWidth="1"/>
    <col min="15118" max="15118" width="2.42578125" style="6" customWidth="1"/>
    <col min="15119" max="15360" width="9.140625" style="6"/>
    <col min="15361" max="15361" width="6.7109375" style="6" customWidth="1"/>
    <col min="15362" max="15362" width="3.28515625" style="6" customWidth="1"/>
    <col min="15363" max="15363" width="3.7109375" style="6" customWidth="1"/>
    <col min="15364" max="15364" width="5.28515625" style="6" customWidth="1"/>
    <col min="15365" max="15365" width="3.140625" style="6" customWidth="1"/>
    <col min="15366" max="15366" width="4" style="6" customWidth="1"/>
    <col min="15367" max="15367" width="29.28515625" style="6" customWidth="1"/>
    <col min="15368" max="15368" width="11.28515625" style="6" customWidth="1"/>
    <col min="15369" max="15369" width="4" style="6" customWidth="1"/>
    <col min="15370" max="15370" width="7" style="6" customWidth="1"/>
    <col min="15371" max="15371" width="33.140625" style="6" customWidth="1"/>
    <col min="15372" max="15372" width="3.85546875" style="6" customWidth="1"/>
    <col min="15373" max="15373" width="5.42578125" style="6" customWidth="1"/>
    <col min="15374" max="15374" width="2.42578125" style="6" customWidth="1"/>
    <col min="15375" max="15616" width="9.140625" style="6"/>
    <col min="15617" max="15617" width="6.7109375" style="6" customWidth="1"/>
    <col min="15618" max="15618" width="3.28515625" style="6" customWidth="1"/>
    <col min="15619" max="15619" width="3.7109375" style="6" customWidth="1"/>
    <col min="15620" max="15620" width="5.28515625" style="6" customWidth="1"/>
    <col min="15621" max="15621" width="3.140625" style="6" customWidth="1"/>
    <col min="15622" max="15622" width="4" style="6" customWidth="1"/>
    <col min="15623" max="15623" width="29.28515625" style="6" customWidth="1"/>
    <col min="15624" max="15624" width="11.28515625" style="6" customWidth="1"/>
    <col min="15625" max="15625" width="4" style="6" customWidth="1"/>
    <col min="15626" max="15626" width="7" style="6" customWidth="1"/>
    <col min="15627" max="15627" width="33.140625" style="6" customWidth="1"/>
    <col min="15628" max="15628" width="3.85546875" style="6" customWidth="1"/>
    <col min="15629" max="15629" width="5.42578125" style="6" customWidth="1"/>
    <col min="15630" max="15630" width="2.42578125" style="6" customWidth="1"/>
    <col min="15631" max="15872" width="9.140625" style="6"/>
    <col min="15873" max="15873" width="6.7109375" style="6" customWidth="1"/>
    <col min="15874" max="15874" width="3.28515625" style="6" customWidth="1"/>
    <col min="15875" max="15875" width="3.7109375" style="6" customWidth="1"/>
    <col min="15876" max="15876" width="5.28515625" style="6" customWidth="1"/>
    <col min="15877" max="15877" width="3.140625" style="6" customWidth="1"/>
    <col min="15878" max="15878" width="4" style="6" customWidth="1"/>
    <col min="15879" max="15879" width="29.28515625" style="6" customWidth="1"/>
    <col min="15880" max="15880" width="11.28515625" style="6" customWidth="1"/>
    <col min="15881" max="15881" width="4" style="6" customWidth="1"/>
    <col min="15882" max="15882" width="7" style="6" customWidth="1"/>
    <col min="15883" max="15883" width="33.140625" style="6" customWidth="1"/>
    <col min="15884" max="15884" width="3.85546875" style="6" customWidth="1"/>
    <col min="15885" max="15885" width="5.42578125" style="6" customWidth="1"/>
    <col min="15886" max="15886" width="2.42578125" style="6" customWidth="1"/>
    <col min="15887" max="16128" width="9.140625" style="6"/>
    <col min="16129" max="16129" width="6.7109375" style="6" customWidth="1"/>
    <col min="16130" max="16130" width="3.28515625" style="6" customWidth="1"/>
    <col min="16131" max="16131" width="3.7109375" style="6" customWidth="1"/>
    <col min="16132" max="16132" width="5.28515625" style="6" customWidth="1"/>
    <col min="16133" max="16133" width="3.140625" style="6" customWidth="1"/>
    <col min="16134" max="16134" width="4" style="6" customWidth="1"/>
    <col min="16135" max="16135" width="29.28515625" style="6" customWidth="1"/>
    <col min="16136" max="16136" width="11.28515625" style="6" customWidth="1"/>
    <col min="16137" max="16137" width="4" style="6" customWidth="1"/>
    <col min="16138" max="16138" width="7" style="6" customWidth="1"/>
    <col min="16139" max="16139" width="33.140625" style="6" customWidth="1"/>
    <col min="16140" max="16140" width="3.85546875" style="6" customWidth="1"/>
    <col min="16141" max="16141" width="5.42578125" style="6" customWidth="1"/>
    <col min="16142" max="16142" width="2.42578125" style="6" customWidth="1"/>
    <col min="16143" max="16384" width="9.140625" style="6"/>
  </cols>
  <sheetData>
    <row r="1" spans="1:14" ht="18" customHeight="1" x14ac:dyDescent="0.25">
      <c r="A1" s="3"/>
      <c r="B1" s="3"/>
      <c r="C1" s="3"/>
      <c r="D1" s="3"/>
      <c r="E1" s="3"/>
      <c r="F1" s="3"/>
      <c r="G1" s="4"/>
      <c r="H1" s="3" t="s">
        <v>85</v>
      </c>
      <c r="I1" s="3"/>
      <c r="J1" s="3"/>
      <c r="K1" s="3"/>
      <c r="L1" s="5"/>
      <c r="M1" s="5"/>
    </row>
    <row r="2" spans="1:14" ht="18" customHeight="1" x14ac:dyDescent="0.25">
      <c r="B2" s="5"/>
      <c r="C2" s="5"/>
      <c r="D2" s="5"/>
      <c r="E2" s="5"/>
      <c r="F2" s="5"/>
      <c r="H2" s="3" t="s">
        <v>86</v>
      </c>
      <c r="I2" s="5"/>
      <c r="J2" s="5"/>
      <c r="K2" s="5"/>
      <c r="L2" s="5"/>
      <c r="M2" s="5"/>
    </row>
    <row r="3" spans="1:14" ht="18" customHeight="1" x14ac:dyDescent="0.25">
      <c r="B3" s="7"/>
      <c r="C3" s="7"/>
      <c r="D3" s="7"/>
      <c r="E3" s="7"/>
      <c r="F3" s="7"/>
      <c r="H3" s="2" t="s">
        <v>87</v>
      </c>
      <c r="I3" s="7"/>
      <c r="J3" s="7"/>
      <c r="K3" s="7"/>
      <c r="L3" s="7"/>
      <c r="M3" s="7"/>
    </row>
    <row r="4" spans="1:14" ht="18" customHeight="1" x14ac:dyDescent="0.2">
      <c r="B4" s="5"/>
      <c r="C4" s="5"/>
      <c r="D4" s="5"/>
      <c r="E4" s="5"/>
      <c r="F4" s="5"/>
      <c r="H4" s="3" t="s">
        <v>88</v>
      </c>
      <c r="I4" s="5"/>
      <c r="J4" s="5"/>
      <c r="K4" s="5"/>
      <c r="L4" s="5"/>
      <c r="M4" s="5"/>
    </row>
    <row r="5" spans="1:14" ht="18" customHeight="1" x14ac:dyDescent="0.25">
      <c r="B5" s="5"/>
      <c r="C5" s="5"/>
      <c r="D5" s="5"/>
      <c r="E5" s="5"/>
      <c r="F5" s="5"/>
      <c r="H5" s="3" t="s">
        <v>89</v>
      </c>
      <c r="I5" s="5"/>
      <c r="J5" s="5"/>
      <c r="K5" s="5"/>
      <c r="L5" s="5"/>
      <c r="M5" s="5"/>
    </row>
    <row r="6" spans="1:14" ht="18" customHeight="1" x14ac:dyDescent="0.25">
      <c r="B6" s="8"/>
      <c r="C6" s="8"/>
      <c r="D6" s="8"/>
      <c r="E6" s="8"/>
      <c r="F6" s="8"/>
      <c r="H6" s="9" t="s">
        <v>90</v>
      </c>
      <c r="I6" s="8"/>
      <c r="J6" s="8"/>
      <c r="K6" s="8"/>
      <c r="L6" s="10"/>
      <c r="M6" s="10"/>
    </row>
    <row r="7" spans="1:14" ht="18" customHeight="1" thickBot="1" x14ac:dyDescent="0.3">
      <c r="A7" s="11"/>
      <c r="B7" s="11"/>
      <c r="C7" s="11"/>
      <c r="D7" s="11"/>
      <c r="E7" s="11"/>
      <c r="F7" s="11"/>
      <c r="G7" s="12"/>
      <c r="H7" s="12"/>
      <c r="I7" s="12"/>
      <c r="J7" s="12"/>
      <c r="K7" s="12"/>
      <c r="L7" s="10"/>
      <c r="M7" s="10"/>
    </row>
    <row r="8" spans="1:14" ht="18" customHeight="1" x14ac:dyDescent="0.25">
      <c r="G8" s="13"/>
      <c r="H8" s="13"/>
      <c r="I8" s="13"/>
      <c r="J8" s="13"/>
      <c r="K8" s="13"/>
      <c r="L8" s="10"/>
      <c r="M8" s="10"/>
    </row>
    <row r="9" spans="1:14" ht="18" customHeight="1" x14ac:dyDescent="0.35">
      <c r="A9" s="271" t="s">
        <v>91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14"/>
    </row>
    <row r="12" spans="1:14" ht="18" customHeight="1" x14ac:dyDescent="0.35">
      <c r="K12" s="6" t="s">
        <v>2</v>
      </c>
    </row>
    <row r="13" spans="1:14" ht="18" customHeight="1" x14ac:dyDescent="0.35">
      <c r="B13" s="6" t="s">
        <v>92</v>
      </c>
      <c r="K13" s="6" t="s">
        <v>2</v>
      </c>
    </row>
    <row r="15" spans="1:14" ht="18" customHeight="1" x14ac:dyDescent="0.35">
      <c r="B15" s="6" t="s">
        <v>93</v>
      </c>
      <c r="E15" s="6" t="s">
        <v>37</v>
      </c>
      <c r="F15" s="15" t="str">
        <f>'SPD (2)'!E63</f>
        <v>Prof. Dr. Ir. Rusdianasari, M.Si.</v>
      </c>
      <c r="G15" s="16"/>
      <c r="N15" s="16"/>
    </row>
    <row r="16" spans="1:14" ht="18" customHeight="1" x14ac:dyDescent="0.35">
      <c r="B16" s="6" t="s">
        <v>4</v>
      </c>
      <c r="E16" s="6" t="s">
        <v>37</v>
      </c>
      <c r="F16" s="17" t="str">
        <f>'SPD (2)'!E64</f>
        <v>196711191993032003</v>
      </c>
      <c r="G16" s="18"/>
      <c r="N16" s="19"/>
    </row>
    <row r="17" spans="2:19" ht="18" customHeight="1" x14ac:dyDescent="0.35">
      <c r="B17" s="6" t="s">
        <v>94</v>
      </c>
      <c r="E17" s="6" t="s">
        <v>37</v>
      </c>
      <c r="F17" s="20" t="s">
        <v>185</v>
      </c>
    </row>
    <row r="19" spans="2:19" ht="30.75" customHeight="1" x14ac:dyDescent="0.35">
      <c r="B19" s="272" t="str">
        <f>'Surat Pernyataan'!B19:K19</f>
        <v>Berdasarkan Surat Tugas tanggal 15 Januari 2026 Nomor: 0361/PL6.4.2/ST/2025 dengan ini kami menyatakan dengan sesungguhnya bahwa :</v>
      </c>
      <c r="C19" s="272"/>
      <c r="D19" s="272"/>
      <c r="E19" s="272"/>
      <c r="F19" s="272"/>
      <c r="G19" s="272"/>
      <c r="H19" s="272"/>
      <c r="I19" s="272"/>
      <c r="J19" s="272"/>
      <c r="K19" s="272"/>
    </row>
    <row r="21" spans="2:19" ht="45.75" customHeight="1" x14ac:dyDescent="0.35">
      <c r="B21" s="21" t="s">
        <v>23</v>
      </c>
      <c r="C21" s="272" t="s">
        <v>95</v>
      </c>
      <c r="D21" s="272"/>
      <c r="E21" s="272"/>
      <c r="F21" s="272"/>
      <c r="G21" s="272"/>
      <c r="H21" s="272"/>
      <c r="I21" s="272"/>
      <c r="J21" s="272"/>
      <c r="K21" s="272"/>
      <c r="L21" s="21"/>
    </row>
    <row r="22" spans="2:19" ht="15" customHeight="1" x14ac:dyDescent="0.35"/>
    <row r="23" spans="2:19" s="21" customFormat="1" ht="30.75" customHeight="1" x14ac:dyDescent="0.35">
      <c r="B23" s="21" t="s">
        <v>96</v>
      </c>
      <c r="C23" s="272" t="s">
        <v>97</v>
      </c>
      <c r="D23" s="272"/>
      <c r="E23" s="272"/>
      <c r="F23" s="272"/>
      <c r="G23" s="272"/>
      <c r="H23" s="272"/>
      <c r="I23" s="272"/>
      <c r="J23" s="272"/>
      <c r="K23" s="272"/>
      <c r="S23" s="21" t="s">
        <v>2</v>
      </c>
    </row>
    <row r="24" spans="2:19" ht="15" customHeight="1" x14ac:dyDescent="0.35">
      <c r="B24" s="6" t="s">
        <v>2</v>
      </c>
    </row>
    <row r="25" spans="2:19" ht="22.5" customHeight="1" x14ac:dyDescent="0.35">
      <c r="B25" s="272" t="s">
        <v>98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1"/>
    </row>
    <row r="26" spans="2:19" ht="15" customHeight="1" x14ac:dyDescent="0.35"/>
    <row r="27" spans="2:19" ht="18" customHeight="1" x14ac:dyDescent="0.35">
      <c r="B27" s="6" t="s">
        <v>99</v>
      </c>
      <c r="I27" s="22" t="s">
        <v>100</v>
      </c>
      <c r="K27" s="23" t="s">
        <v>209</v>
      </c>
      <c r="O27" s="6" t="s">
        <v>5</v>
      </c>
    </row>
    <row r="28" spans="2:19" ht="18" customHeight="1" x14ac:dyDescent="0.35">
      <c r="B28" s="6" t="s">
        <v>101</v>
      </c>
      <c r="I28" s="6" t="s">
        <v>102</v>
      </c>
    </row>
    <row r="29" spans="2:19" ht="18" customHeight="1" x14ac:dyDescent="0.35">
      <c r="B29" s="6" t="s">
        <v>62</v>
      </c>
      <c r="K29" s="6" t="s">
        <v>2</v>
      </c>
    </row>
    <row r="32" spans="2:19" ht="18" customHeight="1" x14ac:dyDescent="0.25">
      <c r="B32" s="6" t="str">
        <f>'Rincian Biaya Perjadin'!G50</f>
        <v>Dodi Oktavianto, S.E.</v>
      </c>
      <c r="I32" s="6" t="str">
        <f>F15</f>
        <v>Prof. Dr. Ir. Rusdianasari, M.Si.</v>
      </c>
    </row>
    <row r="33" spans="2:10" ht="18" customHeight="1" x14ac:dyDescent="0.25">
      <c r="B33" s="6" t="s">
        <v>64</v>
      </c>
      <c r="I33" s="6" t="s">
        <v>4</v>
      </c>
      <c r="J33" s="22" t="str">
        <f>F16</f>
        <v>196711191993032003</v>
      </c>
    </row>
    <row r="34" spans="2:10" ht="18" customHeight="1" x14ac:dyDescent="0.25">
      <c r="J34" s="22"/>
    </row>
    <row r="35" spans="2:10" ht="18" customHeight="1" x14ac:dyDescent="0.25">
      <c r="I35" s="6" t="s">
        <v>103</v>
      </c>
      <c r="J35" s="22"/>
    </row>
    <row r="36" spans="2:10" ht="18" customHeight="1" x14ac:dyDescent="0.25">
      <c r="J36" s="22"/>
    </row>
  </sheetData>
  <mergeCells count="5">
    <mergeCell ref="A9:K9"/>
    <mergeCell ref="B19:K19"/>
    <mergeCell ref="C21:K21"/>
    <mergeCell ref="C23:K23"/>
    <mergeCell ref="B25:K25"/>
  </mergeCells>
  <hyperlinks>
    <hyperlink ref="H6" r:id="rId1" display="http://polsri.ac.id/"/>
  </hyperlinks>
  <printOptions horizontalCentered="1"/>
  <pageMargins left="0.47244094488188981" right="0" top="1.1417322834645669" bottom="0.74803149606299213" header="0.31496062992125984" footer="0.31496062992125984"/>
  <pageSetup paperSize="9" scale="85" orientation="portrait" horizontalDpi="360" verticalDpi="36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opLeftCell="A14" workbookViewId="0">
      <selection activeCell="S23" sqref="S23"/>
    </sheetView>
  </sheetViews>
  <sheetFormatPr defaultRowHeight="18" customHeight="1" x14ac:dyDescent="0.25"/>
  <cols>
    <col min="1" max="1" width="6.7109375" style="6" customWidth="1"/>
    <col min="2" max="2" width="3.28515625" style="6" customWidth="1"/>
    <col min="3" max="3" width="3.7109375" style="6" customWidth="1"/>
    <col min="4" max="4" width="5.28515625" style="6" customWidth="1"/>
    <col min="5" max="5" width="3.140625" style="6" customWidth="1"/>
    <col min="6" max="6" width="4" style="6" customWidth="1"/>
    <col min="7" max="7" width="29.28515625" style="6" customWidth="1"/>
    <col min="8" max="8" width="11.28515625" style="6" customWidth="1"/>
    <col min="9" max="9" width="4" style="6" customWidth="1"/>
    <col min="10" max="10" width="7" style="6" customWidth="1"/>
    <col min="11" max="11" width="33.140625" style="6" customWidth="1"/>
    <col min="12" max="12" width="3.85546875" style="6" customWidth="1"/>
    <col min="13" max="13" width="5.42578125" style="6" customWidth="1"/>
    <col min="14" max="14" width="2.42578125" style="6" customWidth="1"/>
    <col min="15" max="256" width="9.140625" style="6"/>
    <col min="257" max="257" width="6.7109375" style="6" customWidth="1"/>
    <col min="258" max="258" width="3.28515625" style="6" customWidth="1"/>
    <col min="259" max="259" width="3.7109375" style="6" customWidth="1"/>
    <col min="260" max="260" width="5.28515625" style="6" customWidth="1"/>
    <col min="261" max="261" width="3.140625" style="6" customWidth="1"/>
    <col min="262" max="262" width="4" style="6" customWidth="1"/>
    <col min="263" max="263" width="29.28515625" style="6" customWidth="1"/>
    <col min="264" max="264" width="11.28515625" style="6" customWidth="1"/>
    <col min="265" max="265" width="4" style="6" customWidth="1"/>
    <col min="266" max="266" width="7" style="6" customWidth="1"/>
    <col min="267" max="267" width="33.140625" style="6" customWidth="1"/>
    <col min="268" max="268" width="3.85546875" style="6" customWidth="1"/>
    <col min="269" max="269" width="5.42578125" style="6" customWidth="1"/>
    <col min="270" max="270" width="2.42578125" style="6" customWidth="1"/>
    <col min="271" max="512" width="9.140625" style="6"/>
    <col min="513" max="513" width="6.7109375" style="6" customWidth="1"/>
    <col min="514" max="514" width="3.28515625" style="6" customWidth="1"/>
    <col min="515" max="515" width="3.7109375" style="6" customWidth="1"/>
    <col min="516" max="516" width="5.28515625" style="6" customWidth="1"/>
    <col min="517" max="517" width="3.140625" style="6" customWidth="1"/>
    <col min="518" max="518" width="4" style="6" customWidth="1"/>
    <col min="519" max="519" width="29.28515625" style="6" customWidth="1"/>
    <col min="520" max="520" width="11.28515625" style="6" customWidth="1"/>
    <col min="521" max="521" width="4" style="6" customWidth="1"/>
    <col min="522" max="522" width="7" style="6" customWidth="1"/>
    <col min="523" max="523" width="33.140625" style="6" customWidth="1"/>
    <col min="524" max="524" width="3.85546875" style="6" customWidth="1"/>
    <col min="525" max="525" width="5.42578125" style="6" customWidth="1"/>
    <col min="526" max="526" width="2.42578125" style="6" customWidth="1"/>
    <col min="527" max="768" width="9.140625" style="6"/>
    <col min="769" max="769" width="6.7109375" style="6" customWidth="1"/>
    <col min="770" max="770" width="3.28515625" style="6" customWidth="1"/>
    <col min="771" max="771" width="3.7109375" style="6" customWidth="1"/>
    <col min="772" max="772" width="5.28515625" style="6" customWidth="1"/>
    <col min="773" max="773" width="3.140625" style="6" customWidth="1"/>
    <col min="774" max="774" width="4" style="6" customWidth="1"/>
    <col min="775" max="775" width="29.28515625" style="6" customWidth="1"/>
    <col min="776" max="776" width="11.28515625" style="6" customWidth="1"/>
    <col min="777" max="777" width="4" style="6" customWidth="1"/>
    <col min="778" max="778" width="7" style="6" customWidth="1"/>
    <col min="779" max="779" width="33.140625" style="6" customWidth="1"/>
    <col min="780" max="780" width="3.85546875" style="6" customWidth="1"/>
    <col min="781" max="781" width="5.42578125" style="6" customWidth="1"/>
    <col min="782" max="782" width="2.42578125" style="6" customWidth="1"/>
    <col min="783" max="1024" width="9.140625" style="6"/>
    <col min="1025" max="1025" width="6.7109375" style="6" customWidth="1"/>
    <col min="1026" max="1026" width="3.28515625" style="6" customWidth="1"/>
    <col min="1027" max="1027" width="3.7109375" style="6" customWidth="1"/>
    <col min="1028" max="1028" width="5.28515625" style="6" customWidth="1"/>
    <col min="1029" max="1029" width="3.140625" style="6" customWidth="1"/>
    <col min="1030" max="1030" width="4" style="6" customWidth="1"/>
    <col min="1031" max="1031" width="29.28515625" style="6" customWidth="1"/>
    <col min="1032" max="1032" width="11.28515625" style="6" customWidth="1"/>
    <col min="1033" max="1033" width="4" style="6" customWidth="1"/>
    <col min="1034" max="1034" width="7" style="6" customWidth="1"/>
    <col min="1035" max="1035" width="33.140625" style="6" customWidth="1"/>
    <col min="1036" max="1036" width="3.85546875" style="6" customWidth="1"/>
    <col min="1037" max="1037" width="5.42578125" style="6" customWidth="1"/>
    <col min="1038" max="1038" width="2.42578125" style="6" customWidth="1"/>
    <col min="1039" max="1280" width="9.140625" style="6"/>
    <col min="1281" max="1281" width="6.7109375" style="6" customWidth="1"/>
    <col min="1282" max="1282" width="3.28515625" style="6" customWidth="1"/>
    <col min="1283" max="1283" width="3.7109375" style="6" customWidth="1"/>
    <col min="1284" max="1284" width="5.28515625" style="6" customWidth="1"/>
    <col min="1285" max="1285" width="3.140625" style="6" customWidth="1"/>
    <col min="1286" max="1286" width="4" style="6" customWidth="1"/>
    <col min="1287" max="1287" width="29.28515625" style="6" customWidth="1"/>
    <col min="1288" max="1288" width="11.28515625" style="6" customWidth="1"/>
    <col min="1289" max="1289" width="4" style="6" customWidth="1"/>
    <col min="1290" max="1290" width="7" style="6" customWidth="1"/>
    <col min="1291" max="1291" width="33.140625" style="6" customWidth="1"/>
    <col min="1292" max="1292" width="3.85546875" style="6" customWidth="1"/>
    <col min="1293" max="1293" width="5.42578125" style="6" customWidth="1"/>
    <col min="1294" max="1294" width="2.42578125" style="6" customWidth="1"/>
    <col min="1295" max="1536" width="9.140625" style="6"/>
    <col min="1537" max="1537" width="6.7109375" style="6" customWidth="1"/>
    <col min="1538" max="1538" width="3.28515625" style="6" customWidth="1"/>
    <col min="1539" max="1539" width="3.7109375" style="6" customWidth="1"/>
    <col min="1540" max="1540" width="5.28515625" style="6" customWidth="1"/>
    <col min="1541" max="1541" width="3.140625" style="6" customWidth="1"/>
    <col min="1542" max="1542" width="4" style="6" customWidth="1"/>
    <col min="1543" max="1543" width="29.28515625" style="6" customWidth="1"/>
    <col min="1544" max="1544" width="11.28515625" style="6" customWidth="1"/>
    <col min="1545" max="1545" width="4" style="6" customWidth="1"/>
    <col min="1546" max="1546" width="7" style="6" customWidth="1"/>
    <col min="1547" max="1547" width="33.140625" style="6" customWidth="1"/>
    <col min="1548" max="1548" width="3.85546875" style="6" customWidth="1"/>
    <col min="1549" max="1549" width="5.42578125" style="6" customWidth="1"/>
    <col min="1550" max="1550" width="2.42578125" style="6" customWidth="1"/>
    <col min="1551" max="1792" width="9.140625" style="6"/>
    <col min="1793" max="1793" width="6.7109375" style="6" customWidth="1"/>
    <col min="1794" max="1794" width="3.28515625" style="6" customWidth="1"/>
    <col min="1795" max="1795" width="3.7109375" style="6" customWidth="1"/>
    <col min="1796" max="1796" width="5.28515625" style="6" customWidth="1"/>
    <col min="1797" max="1797" width="3.140625" style="6" customWidth="1"/>
    <col min="1798" max="1798" width="4" style="6" customWidth="1"/>
    <col min="1799" max="1799" width="29.28515625" style="6" customWidth="1"/>
    <col min="1800" max="1800" width="11.28515625" style="6" customWidth="1"/>
    <col min="1801" max="1801" width="4" style="6" customWidth="1"/>
    <col min="1802" max="1802" width="7" style="6" customWidth="1"/>
    <col min="1803" max="1803" width="33.140625" style="6" customWidth="1"/>
    <col min="1804" max="1804" width="3.85546875" style="6" customWidth="1"/>
    <col min="1805" max="1805" width="5.42578125" style="6" customWidth="1"/>
    <col min="1806" max="1806" width="2.42578125" style="6" customWidth="1"/>
    <col min="1807" max="2048" width="9.140625" style="6"/>
    <col min="2049" max="2049" width="6.7109375" style="6" customWidth="1"/>
    <col min="2050" max="2050" width="3.28515625" style="6" customWidth="1"/>
    <col min="2051" max="2051" width="3.7109375" style="6" customWidth="1"/>
    <col min="2052" max="2052" width="5.28515625" style="6" customWidth="1"/>
    <col min="2053" max="2053" width="3.140625" style="6" customWidth="1"/>
    <col min="2054" max="2054" width="4" style="6" customWidth="1"/>
    <col min="2055" max="2055" width="29.28515625" style="6" customWidth="1"/>
    <col min="2056" max="2056" width="11.28515625" style="6" customWidth="1"/>
    <col min="2057" max="2057" width="4" style="6" customWidth="1"/>
    <col min="2058" max="2058" width="7" style="6" customWidth="1"/>
    <col min="2059" max="2059" width="33.140625" style="6" customWidth="1"/>
    <col min="2060" max="2060" width="3.85546875" style="6" customWidth="1"/>
    <col min="2061" max="2061" width="5.42578125" style="6" customWidth="1"/>
    <col min="2062" max="2062" width="2.42578125" style="6" customWidth="1"/>
    <col min="2063" max="2304" width="9.140625" style="6"/>
    <col min="2305" max="2305" width="6.7109375" style="6" customWidth="1"/>
    <col min="2306" max="2306" width="3.28515625" style="6" customWidth="1"/>
    <col min="2307" max="2307" width="3.7109375" style="6" customWidth="1"/>
    <col min="2308" max="2308" width="5.28515625" style="6" customWidth="1"/>
    <col min="2309" max="2309" width="3.140625" style="6" customWidth="1"/>
    <col min="2310" max="2310" width="4" style="6" customWidth="1"/>
    <col min="2311" max="2311" width="29.28515625" style="6" customWidth="1"/>
    <col min="2312" max="2312" width="11.28515625" style="6" customWidth="1"/>
    <col min="2313" max="2313" width="4" style="6" customWidth="1"/>
    <col min="2314" max="2314" width="7" style="6" customWidth="1"/>
    <col min="2315" max="2315" width="33.140625" style="6" customWidth="1"/>
    <col min="2316" max="2316" width="3.85546875" style="6" customWidth="1"/>
    <col min="2317" max="2317" width="5.42578125" style="6" customWidth="1"/>
    <col min="2318" max="2318" width="2.42578125" style="6" customWidth="1"/>
    <col min="2319" max="2560" width="9.140625" style="6"/>
    <col min="2561" max="2561" width="6.7109375" style="6" customWidth="1"/>
    <col min="2562" max="2562" width="3.28515625" style="6" customWidth="1"/>
    <col min="2563" max="2563" width="3.7109375" style="6" customWidth="1"/>
    <col min="2564" max="2564" width="5.28515625" style="6" customWidth="1"/>
    <col min="2565" max="2565" width="3.140625" style="6" customWidth="1"/>
    <col min="2566" max="2566" width="4" style="6" customWidth="1"/>
    <col min="2567" max="2567" width="29.28515625" style="6" customWidth="1"/>
    <col min="2568" max="2568" width="11.28515625" style="6" customWidth="1"/>
    <col min="2569" max="2569" width="4" style="6" customWidth="1"/>
    <col min="2570" max="2570" width="7" style="6" customWidth="1"/>
    <col min="2571" max="2571" width="33.140625" style="6" customWidth="1"/>
    <col min="2572" max="2572" width="3.85546875" style="6" customWidth="1"/>
    <col min="2573" max="2573" width="5.42578125" style="6" customWidth="1"/>
    <col min="2574" max="2574" width="2.42578125" style="6" customWidth="1"/>
    <col min="2575" max="2816" width="9.140625" style="6"/>
    <col min="2817" max="2817" width="6.7109375" style="6" customWidth="1"/>
    <col min="2818" max="2818" width="3.28515625" style="6" customWidth="1"/>
    <col min="2819" max="2819" width="3.7109375" style="6" customWidth="1"/>
    <col min="2820" max="2820" width="5.28515625" style="6" customWidth="1"/>
    <col min="2821" max="2821" width="3.140625" style="6" customWidth="1"/>
    <col min="2822" max="2822" width="4" style="6" customWidth="1"/>
    <col min="2823" max="2823" width="29.28515625" style="6" customWidth="1"/>
    <col min="2824" max="2824" width="11.28515625" style="6" customWidth="1"/>
    <col min="2825" max="2825" width="4" style="6" customWidth="1"/>
    <col min="2826" max="2826" width="7" style="6" customWidth="1"/>
    <col min="2827" max="2827" width="33.140625" style="6" customWidth="1"/>
    <col min="2828" max="2828" width="3.85546875" style="6" customWidth="1"/>
    <col min="2829" max="2829" width="5.42578125" style="6" customWidth="1"/>
    <col min="2830" max="2830" width="2.42578125" style="6" customWidth="1"/>
    <col min="2831" max="3072" width="9.140625" style="6"/>
    <col min="3073" max="3073" width="6.7109375" style="6" customWidth="1"/>
    <col min="3074" max="3074" width="3.28515625" style="6" customWidth="1"/>
    <col min="3075" max="3075" width="3.7109375" style="6" customWidth="1"/>
    <col min="3076" max="3076" width="5.28515625" style="6" customWidth="1"/>
    <col min="3077" max="3077" width="3.140625" style="6" customWidth="1"/>
    <col min="3078" max="3078" width="4" style="6" customWidth="1"/>
    <col min="3079" max="3079" width="29.28515625" style="6" customWidth="1"/>
    <col min="3080" max="3080" width="11.28515625" style="6" customWidth="1"/>
    <col min="3081" max="3081" width="4" style="6" customWidth="1"/>
    <col min="3082" max="3082" width="7" style="6" customWidth="1"/>
    <col min="3083" max="3083" width="33.140625" style="6" customWidth="1"/>
    <col min="3084" max="3084" width="3.85546875" style="6" customWidth="1"/>
    <col min="3085" max="3085" width="5.42578125" style="6" customWidth="1"/>
    <col min="3086" max="3086" width="2.42578125" style="6" customWidth="1"/>
    <col min="3087" max="3328" width="9.140625" style="6"/>
    <col min="3329" max="3329" width="6.7109375" style="6" customWidth="1"/>
    <col min="3330" max="3330" width="3.28515625" style="6" customWidth="1"/>
    <col min="3331" max="3331" width="3.7109375" style="6" customWidth="1"/>
    <col min="3332" max="3332" width="5.28515625" style="6" customWidth="1"/>
    <col min="3333" max="3333" width="3.140625" style="6" customWidth="1"/>
    <col min="3334" max="3334" width="4" style="6" customWidth="1"/>
    <col min="3335" max="3335" width="29.28515625" style="6" customWidth="1"/>
    <col min="3336" max="3336" width="11.28515625" style="6" customWidth="1"/>
    <col min="3337" max="3337" width="4" style="6" customWidth="1"/>
    <col min="3338" max="3338" width="7" style="6" customWidth="1"/>
    <col min="3339" max="3339" width="33.140625" style="6" customWidth="1"/>
    <col min="3340" max="3340" width="3.85546875" style="6" customWidth="1"/>
    <col min="3341" max="3341" width="5.42578125" style="6" customWidth="1"/>
    <col min="3342" max="3342" width="2.42578125" style="6" customWidth="1"/>
    <col min="3343" max="3584" width="9.140625" style="6"/>
    <col min="3585" max="3585" width="6.7109375" style="6" customWidth="1"/>
    <col min="3586" max="3586" width="3.28515625" style="6" customWidth="1"/>
    <col min="3587" max="3587" width="3.7109375" style="6" customWidth="1"/>
    <col min="3588" max="3588" width="5.28515625" style="6" customWidth="1"/>
    <col min="3589" max="3589" width="3.140625" style="6" customWidth="1"/>
    <col min="3590" max="3590" width="4" style="6" customWidth="1"/>
    <col min="3591" max="3591" width="29.28515625" style="6" customWidth="1"/>
    <col min="3592" max="3592" width="11.28515625" style="6" customWidth="1"/>
    <col min="3593" max="3593" width="4" style="6" customWidth="1"/>
    <col min="3594" max="3594" width="7" style="6" customWidth="1"/>
    <col min="3595" max="3595" width="33.140625" style="6" customWidth="1"/>
    <col min="3596" max="3596" width="3.85546875" style="6" customWidth="1"/>
    <col min="3597" max="3597" width="5.42578125" style="6" customWidth="1"/>
    <col min="3598" max="3598" width="2.42578125" style="6" customWidth="1"/>
    <col min="3599" max="3840" width="9.140625" style="6"/>
    <col min="3841" max="3841" width="6.7109375" style="6" customWidth="1"/>
    <col min="3842" max="3842" width="3.28515625" style="6" customWidth="1"/>
    <col min="3843" max="3843" width="3.7109375" style="6" customWidth="1"/>
    <col min="3844" max="3844" width="5.28515625" style="6" customWidth="1"/>
    <col min="3845" max="3845" width="3.140625" style="6" customWidth="1"/>
    <col min="3846" max="3846" width="4" style="6" customWidth="1"/>
    <col min="3847" max="3847" width="29.28515625" style="6" customWidth="1"/>
    <col min="3848" max="3848" width="11.28515625" style="6" customWidth="1"/>
    <col min="3849" max="3849" width="4" style="6" customWidth="1"/>
    <col min="3850" max="3850" width="7" style="6" customWidth="1"/>
    <col min="3851" max="3851" width="33.140625" style="6" customWidth="1"/>
    <col min="3852" max="3852" width="3.85546875" style="6" customWidth="1"/>
    <col min="3853" max="3853" width="5.42578125" style="6" customWidth="1"/>
    <col min="3854" max="3854" width="2.42578125" style="6" customWidth="1"/>
    <col min="3855" max="4096" width="9.140625" style="6"/>
    <col min="4097" max="4097" width="6.7109375" style="6" customWidth="1"/>
    <col min="4098" max="4098" width="3.28515625" style="6" customWidth="1"/>
    <col min="4099" max="4099" width="3.7109375" style="6" customWidth="1"/>
    <col min="4100" max="4100" width="5.28515625" style="6" customWidth="1"/>
    <col min="4101" max="4101" width="3.140625" style="6" customWidth="1"/>
    <col min="4102" max="4102" width="4" style="6" customWidth="1"/>
    <col min="4103" max="4103" width="29.28515625" style="6" customWidth="1"/>
    <col min="4104" max="4104" width="11.28515625" style="6" customWidth="1"/>
    <col min="4105" max="4105" width="4" style="6" customWidth="1"/>
    <col min="4106" max="4106" width="7" style="6" customWidth="1"/>
    <col min="4107" max="4107" width="33.140625" style="6" customWidth="1"/>
    <col min="4108" max="4108" width="3.85546875" style="6" customWidth="1"/>
    <col min="4109" max="4109" width="5.42578125" style="6" customWidth="1"/>
    <col min="4110" max="4110" width="2.42578125" style="6" customWidth="1"/>
    <col min="4111" max="4352" width="9.140625" style="6"/>
    <col min="4353" max="4353" width="6.7109375" style="6" customWidth="1"/>
    <col min="4354" max="4354" width="3.28515625" style="6" customWidth="1"/>
    <col min="4355" max="4355" width="3.7109375" style="6" customWidth="1"/>
    <col min="4356" max="4356" width="5.28515625" style="6" customWidth="1"/>
    <col min="4357" max="4357" width="3.140625" style="6" customWidth="1"/>
    <col min="4358" max="4358" width="4" style="6" customWidth="1"/>
    <col min="4359" max="4359" width="29.28515625" style="6" customWidth="1"/>
    <col min="4360" max="4360" width="11.28515625" style="6" customWidth="1"/>
    <col min="4361" max="4361" width="4" style="6" customWidth="1"/>
    <col min="4362" max="4362" width="7" style="6" customWidth="1"/>
    <col min="4363" max="4363" width="33.140625" style="6" customWidth="1"/>
    <col min="4364" max="4364" width="3.85546875" style="6" customWidth="1"/>
    <col min="4365" max="4365" width="5.42578125" style="6" customWidth="1"/>
    <col min="4366" max="4366" width="2.42578125" style="6" customWidth="1"/>
    <col min="4367" max="4608" width="9.140625" style="6"/>
    <col min="4609" max="4609" width="6.7109375" style="6" customWidth="1"/>
    <col min="4610" max="4610" width="3.28515625" style="6" customWidth="1"/>
    <col min="4611" max="4611" width="3.7109375" style="6" customWidth="1"/>
    <col min="4612" max="4612" width="5.28515625" style="6" customWidth="1"/>
    <col min="4613" max="4613" width="3.140625" style="6" customWidth="1"/>
    <col min="4614" max="4614" width="4" style="6" customWidth="1"/>
    <col min="4615" max="4615" width="29.28515625" style="6" customWidth="1"/>
    <col min="4616" max="4616" width="11.28515625" style="6" customWidth="1"/>
    <col min="4617" max="4617" width="4" style="6" customWidth="1"/>
    <col min="4618" max="4618" width="7" style="6" customWidth="1"/>
    <col min="4619" max="4619" width="33.140625" style="6" customWidth="1"/>
    <col min="4620" max="4620" width="3.85546875" style="6" customWidth="1"/>
    <col min="4621" max="4621" width="5.42578125" style="6" customWidth="1"/>
    <col min="4622" max="4622" width="2.42578125" style="6" customWidth="1"/>
    <col min="4623" max="4864" width="9.140625" style="6"/>
    <col min="4865" max="4865" width="6.7109375" style="6" customWidth="1"/>
    <col min="4866" max="4866" width="3.28515625" style="6" customWidth="1"/>
    <col min="4867" max="4867" width="3.7109375" style="6" customWidth="1"/>
    <col min="4868" max="4868" width="5.28515625" style="6" customWidth="1"/>
    <col min="4869" max="4869" width="3.140625" style="6" customWidth="1"/>
    <col min="4870" max="4870" width="4" style="6" customWidth="1"/>
    <col min="4871" max="4871" width="29.28515625" style="6" customWidth="1"/>
    <col min="4872" max="4872" width="11.28515625" style="6" customWidth="1"/>
    <col min="4873" max="4873" width="4" style="6" customWidth="1"/>
    <col min="4874" max="4874" width="7" style="6" customWidth="1"/>
    <col min="4875" max="4875" width="33.140625" style="6" customWidth="1"/>
    <col min="4876" max="4876" width="3.85546875" style="6" customWidth="1"/>
    <col min="4877" max="4877" width="5.42578125" style="6" customWidth="1"/>
    <col min="4878" max="4878" width="2.42578125" style="6" customWidth="1"/>
    <col min="4879" max="5120" width="9.140625" style="6"/>
    <col min="5121" max="5121" width="6.7109375" style="6" customWidth="1"/>
    <col min="5122" max="5122" width="3.28515625" style="6" customWidth="1"/>
    <col min="5123" max="5123" width="3.7109375" style="6" customWidth="1"/>
    <col min="5124" max="5124" width="5.28515625" style="6" customWidth="1"/>
    <col min="5125" max="5125" width="3.140625" style="6" customWidth="1"/>
    <col min="5126" max="5126" width="4" style="6" customWidth="1"/>
    <col min="5127" max="5127" width="29.28515625" style="6" customWidth="1"/>
    <col min="5128" max="5128" width="11.28515625" style="6" customWidth="1"/>
    <col min="5129" max="5129" width="4" style="6" customWidth="1"/>
    <col min="5130" max="5130" width="7" style="6" customWidth="1"/>
    <col min="5131" max="5131" width="33.140625" style="6" customWidth="1"/>
    <col min="5132" max="5132" width="3.85546875" style="6" customWidth="1"/>
    <col min="5133" max="5133" width="5.42578125" style="6" customWidth="1"/>
    <col min="5134" max="5134" width="2.42578125" style="6" customWidth="1"/>
    <col min="5135" max="5376" width="9.140625" style="6"/>
    <col min="5377" max="5377" width="6.7109375" style="6" customWidth="1"/>
    <col min="5378" max="5378" width="3.28515625" style="6" customWidth="1"/>
    <col min="5379" max="5379" width="3.7109375" style="6" customWidth="1"/>
    <col min="5380" max="5380" width="5.28515625" style="6" customWidth="1"/>
    <col min="5381" max="5381" width="3.140625" style="6" customWidth="1"/>
    <col min="5382" max="5382" width="4" style="6" customWidth="1"/>
    <col min="5383" max="5383" width="29.28515625" style="6" customWidth="1"/>
    <col min="5384" max="5384" width="11.28515625" style="6" customWidth="1"/>
    <col min="5385" max="5385" width="4" style="6" customWidth="1"/>
    <col min="5386" max="5386" width="7" style="6" customWidth="1"/>
    <col min="5387" max="5387" width="33.140625" style="6" customWidth="1"/>
    <col min="5388" max="5388" width="3.85546875" style="6" customWidth="1"/>
    <col min="5389" max="5389" width="5.42578125" style="6" customWidth="1"/>
    <col min="5390" max="5390" width="2.42578125" style="6" customWidth="1"/>
    <col min="5391" max="5632" width="9.140625" style="6"/>
    <col min="5633" max="5633" width="6.7109375" style="6" customWidth="1"/>
    <col min="5634" max="5634" width="3.28515625" style="6" customWidth="1"/>
    <col min="5635" max="5635" width="3.7109375" style="6" customWidth="1"/>
    <col min="5636" max="5636" width="5.28515625" style="6" customWidth="1"/>
    <col min="5637" max="5637" width="3.140625" style="6" customWidth="1"/>
    <col min="5638" max="5638" width="4" style="6" customWidth="1"/>
    <col min="5639" max="5639" width="29.28515625" style="6" customWidth="1"/>
    <col min="5640" max="5640" width="11.28515625" style="6" customWidth="1"/>
    <col min="5641" max="5641" width="4" style="6" customWidth="1"/>
    <col min="5642" max="5642" width="7" style="6" customWidth="1"/>
    <col min="5643" max="5643" width="33.140625" style="6" customWidth="1"/>
    <col min="5644" max="5644" width="3.85546875" style="6" customWidth="1"/>
    <col min="5645" max="5645" width="5.42578125" style="6" customWidth="1"/>
    <col min="5646" max="5646" width="2.42578125" style="6" customWidth="1"/>
    <col min="5647" max="5888" width="9.140625" style="6"/>
    <col min="5889" max="5889" width="6.7109375" style="6" customWidth="1"/>
    <col min="5890" max="5890" width="3.28515625" style="6" customWidth="1"/>
    <col min="5891" max="5891" width="3.7109375" style="6" customWidth="1"/>
    <col min="5892" max="5892" width="5.28515625" style="6" customWidth="1"/>
    <col min="5893" max="5893" width="3.140625" style="6" customWidth="1"/>
    <col min="5894" max="5894" width="4" style="6" customWidth="1"/>
    <col min="5895" max="5895" width="29.28515625" style="6" customWidth="1"/>
    <col min="5896" max="5896" width="11.28515625" style="6" customWidth="1"/>
    <col min="5897" max="5897" width="4" style="6" customWidth="1"/>
    <col min="5898" max="5898" width="7" style="6" customWidth="1"/>
    <col min="5899" max="5899" width="33.140625" style="6" customWidth="1"/>
    <col min="5900" max="5900" width="3.85546875" style="6" customWidth="1"/>
    <col min="5901" max="5901" width="5.42578125" style="6" customWidth="1"/>
    <col min="5902" max="5902" width="2.42578125" style="6" customWidth="1"/>
    <col min="5903" max="6144" width="9.140625" style="6"/>
    <col min="6145" max="6145" width="6.7109375" style="6" customWidth="1"/>
    <col min="6146" max="6146" width="3.28515625" style="6" customWidth="1"/>
    <col min="6147" max="6147" width="3.7109375" style="6" customWidth="1"/>
    <col min="6148" max="6148" width="5.28515625" style="6" customWidth="1"/>
    <col min="6149" max="6149" width="3.140625" style="6" customWidth="1"/>
    <col min="6150" max="6150" width="4" style="6" customWidth="1"/>
    <col min="6151" max="6151" width="29.28515625" style="6" customWidth="1"/>
    <col min="6152" max="6152" width="11.28515625" style="6" customWidth="1"/>
    <col min="6153" max="6153" width="4" style="6" customWidth="1"/>
    <col min="6154" max="6154" width="7" style="6" customWidth="1"/>
    <col min="6155" max="6155" width="33.140625" style="6" customWidth="1"/>
    <col min="6156" max="6156" width="3.85546875" style="6" customWidth="1"/>
    <col min="6157" max="6157" width="5.42578125" style="6" customWidth="1"/>
    <col min="6158" max="6158" width="2.42578125" style="6" customWidth="1"/>
    <col min="6159" max="6400" width="9.140625" style="6"/>
    <col min="6401" max="6401" width="6.7109375" style="6" customWidth="1"/>
    <col min="6402" max="6402" width="3.28515625" style="6" customWidth="1"/>
    <col min="6403" max="6403" width="3.7109375" style="6" customWidth="1"/>
    <col min="6404" max="6404" width="5.28515625" style="6" customWidth="1"/>
    <col min="6405" max="6405" width="3.140625" style="6" customWidth="1"/>
    <col min="6406" max="6406" width="4" style="6" customWidth="1"/>
    <col min="6407" max="6407" width="29.28515625" style="6" customWidth="1"/>
    <col min="6408" max="6408" width="11.28515625" style="6" customWidth="1"/>
    <col min="6409" max="6409" width="4" style="6" customWidth="1"/>
    <col min="6410" max="6410" width="7" style="6" customWidth="1"/>
    <col min="6411" max="6411" width="33.140625" style="6" customWidth="1"/>
    <col min="6412" max="6412" width="3.85546875" style="6" customWidth="1"/>
    <col min="6413" max="6413" width="5.42578125" style="6" customWidth="1"/>
    <col min="6414" max="6414" width="2.42578125" style="6" customWidth="1"/>
    <col min="6415" max="6656" width="9.140625" style="6"/>
    <col min="6657" max="6657" width="6.7109375" style="6" customWidth="1"/>
    <col min="6658" max="6658" width="3.28515625" style="6" customWidth="1"/>
    <col min="6659" max="6659" width="3.7109375" style="6" customWidth="1"/>
    <col min="6660" max="6660" width="5.28515625" style="6" customWidth="1"/>
    <col min="6661" max="6661" width="3.140625" style="6" customWidth="1"/>
    <col min="6662" max="6662" width="4" style="6" customWidth="1"/>
    <col min="6663" max="6663" width="29.28515625" style="6" customWidth="1"/>
    <col min="6664" max="6664" width="11.28515625" style="6" customWidth="1"/>
    <col min="6665" max="6665" width="4" style="6" customWidth="1"/>
    <col min="6666" max="6666" width="7" style="6" customWidth="1"/>
    <col min="6667" max="6667" width="33.140625" style="6" customWidth="1"/>
    <col min="6668" max="6668" width="3.85546875" style="6" customWidth="1"/>
    <col min="6669" max="6669" width="5.42578125" style="6" customWidth="1"/>
    <col min="6670" max="6670" width="2.42578125" style="6" customWidth="1"/>
    <col min="6671" max="6912" width="9.140625" style="6"/>
    <col min="6913" max="6913" width="6.7109375" style="6" customWidth="1"/>
    <col min="6914" max="6914" width="3.28515625" style="6" customWidth="1"/>
    <col min="6915" max="6915" width="3.7109375" style="6" customWidth="1"/>
    <col min="6916" max="6916" width="5.28515625" style="6" customWidth="1"/>
    <col min="6917" max="6917" width="3.140625" style="6" customWidth="1"/>
    <col min="6918" max="6918" width="4" style="6" customWidth="1"/>
    <col min="6919" max="6919" width="29.28515625" style="6" customWidth="1"/>
    <col min="6920" max="6920" width="11.28515625" style="6" customWidth="1"/>
    <col min="6921" max="6921" width="4" style="6" customWidth="1"/>
    <col min="6922" max="6922" width="7" style="6" customWidth="1"/>
    <col min="6923" max="6923" width="33.140625" style="6" customWidth="1"/>
    <col min="6924" max="6924" width="3.85546875" style="6" customWidth="1"/>
    <col min="6925" max="6925" width="5.42578125" style="6" customWidth="1"/>
    <col min="6926" max="6926" width="2.42578125" style="6" customWidth="1"/>
    <col min="6927" max="7168" width="9.140625" style="6"/>
    <col min="7169" max="7169" width="6.7109375" style="6" customWidth="1"/>
    <col min="7170" max="7170" width="3.28515625" style="6" customWidth="1"/>
    <col min="7171" max="7171" width="3.7109375" style="6" customWidth="1"/>
    <col min="7172" max="7172" width="5.28515625" style="6" customWidth="1"/>
    <col min="7173" max="7173" width="3.140625" style="6" customWidth="1"/>
    <col min="7174" max="7174" width="4" style="6" customWidth="1"/>
    <col min="7175" max="7175" width="29.28515625" style="6" customWidth="1"/>
    <col min="7176" max="7176" width="11.28515625" style="6" customWidth="1"/>
    <col min="7177" max="7177" width="4" style="6" customWidth="1"/>
    <col min="7178" max="7178" width="7" style="6" customWidth="1"/>
    <col min="7179" max="7179" width="33.140625" style="6" customWidth="1"/>
    <col min="7180" max="7180" width="3.85546875" style="6" customWidth="1"/>
    <col min="7181" max="7181" width="5.42578125" style="6" customWidth="1"/>
    <col min="7182" max="7182" width="2.42578125" style="6" customWidth="1"/>
    <col min="7183" max="7424" width="9.140625" style="6"/>
    <col min="7425" max="7425" width="6.7109375" style="6" customWidth="1"/>
    <col min="7426" max="7426" width="3.28515625" style="6" customWidth="1"/>
    <col min="7427" max="7427" width="3.7109375" style="6" customWidth="1"/>
    <col min="7428" max="7428" width="5.28515625" style="6" customWidth="1"/>
    <col min="7429" max="7429" width="3.140625" style="6" customWidth="1"/>
    <col min="7430" max="7430" width="4" style="6" customWidth="1"/>
    <col min="7431" max="7431" width="29.28515625" style="6" customWidth="1"/>
    <col min="7432" max="7432" width="11.28515625" style="6" customWidth="1"/>
    <col min="7433" max="7433" width="4" style="6" customWidth="1"/>
    <col min="7434" max="7434" width="7" style="6" customWidth="1"/>
    <col min="7435" max="7435" width="33.140625" style="6" customWidth="1"/>
    <col min="7436" max="7436" width="3.85546875" style="6" customWidth="1"/>
    <col min="7437" max="7437" width="5.42578125" style="6" customWidth="1"/>
    <col min="7438" max="7438" width="2.42578125" style="6" customWidth="1"/>
    <col min="7439" max="7680" width="9.140625" style="6"/>
    <col min="7681" max="7681" width="6.7109375" style="6" customWidth="1"/>
    <col min="7682" max="7682" width="3.28515625" style="6" customWidth="1"/>
    <col min="7683" max="7683" width="3.7109375" style="6" customWidth="1"/>
    <col min="7684" max="7684" width="5.28515625" style="6" customWidth="1"/>
    <col min="7685" max="7685" width="3.140625" style="6" customWidth="1"/>
    <col min="7686" max="7686" width="4" style="6" customWidth="1"/>
    <col min="7687" max="7687" width="29.28515625" style="6" customWidth="1"/>
    <col min="7688" max="7688" width="11.28515625" style="6" customWidth="1"/>
    <col min="7689" max="7689" width="4" style="6" customWidth="1"/>
    <col min="7690" max="7690" width="7" style="6" customWidth="1"/>
    <col min="7691" max="7691" width="33.140625" style="6" customWidth="1"/>
    <col min="7692" max="7692" width="3.85546875" style="6" customWidth="1"/>
    <col min="7693" max="7693" width="5.42578125" style="6" customWidth="1"/>
    <col min="7694" max="7694" width="2.42578125" style="6" customWidth="1"/>
    <col min="7695" max="7936" width="9.140625" style="6"/>
    <col min="7937" max="7937" width="6.7109375" style="6" customWidth="1"/>
    <col min="7938" max="7938" width="3.28515625" style="6" customWidth="1"/>
    <col min="7939" max="7939" width="3.7109375" style="6" customWidth="1"/>
    <col min="7940" max="7940" width="5.28515625" style="6" customWidth="1"/>
    <col min="7941" max="7941" width="3.140625" style="6" customWidth="1"/>
    <col min="7942" max="7942" width="4" style="6" customWidth="1"/>
    <col min="7943" max="7943" width="29.28515625" style="6" customWidth="1"/>
    <col min="7944" max="7944" width="11.28515625" style="6" customWidth="1"/>
    <col min="7945" max="7945" width="4" style="6" customWidth="1"/>
    <col min="7946" max="7946" width="7" style="6" customWidth="1"/>
    <col min="7947" max="7947" width="33.140625" style="6" customWidth="1"/>
    <col min="7948" max="7948" width="3.85546875" style="6" customWidth="1"/>
    <col min="7949" max="7949" width="5.42578125" style="6" customWidth="1"/>
    <col min="7950" max="7950" width="2.42578125" style="6" customWidth="1"/>
    <col min="7951" max="8192" width="9.140625" style="6"/>
    <col min="8193" max="8193" width="6.7109375" style="6" customWidth="1"/>
    <col min="8194" max="8194" width="3.28515625" style="6" customWidth="1"/>
    <col min="8195" max="8195" width="3.7109375" style="6" customWidth="1"/>
    <col min="8196" max="8196" width="5.28515625" style="6" customWidth="1"/>
    <col min="8197" max="8197" width="3.140625" style="6" customWidth="1"/>
    <col min="8198" max="8198" width="4" style="6" customWidth="1"/>
    <col min="8199" max="8199" width="29.28515625" style="6" customWidth="1"/>
    <col min="8200" max="8200" width="11.28515625" style="6" customWidth="1"/>
    <col min="8201" max="8201" width="4" style="6" customWidth="1"/>
    <col min="8202" max="8202" width="7" style="6" customWidth="1"/>
    <col min="8203" max="8203" width="33.140625" style="6" customWidth="1"/>
    <col min="8204" max="8204" width="3.85546875" style="6" customWidth="1"/>
    <col min="8205" max="8205" width="5.42578125" style="6" customWidth="1"/>
    <col min="8206" max="8206" width="2.42578125" style="6" customWidth="1"/>
    <col min="8207" max="8448" width="9.140625" style="6"/>
    <col min="8449" max="8449" width="6.7109375" style="6" customWidth="1"/>
    <col min="8450" max="8450" width="3.28515625" style="6" customWidth="1"/>
    <col min="8451" max="8451" width="3.7109375" style="6" customWidth="1"/>
    <col min="8452" max="8452" width="5.28515625" style="6" customWidth="1"/>
    <col min="8453" max="8453" width="3.140625" style="6" customWidth="1"/>
    <col min="8454" max="8454" width="4" style="6" customWidth="1"/>
    <col min="8455" max="8455" width="29.28515625" style="6" customWidth="1"/>
    <col min="8456" max="8456" width="11.28515625" style="6" customWidth="1"/>
    <col min="8457" max="8457" width="4" style="6" customWidth="1"/>
    <col min="8458" max="8458" width="7" style="6" customWidth="1"/>
    <col min="8459" max="8459" width="33.140625" style="6" customWidth="1"/>
    <col min="8460" max="8460" width="3.85546875" style="6" customWidth="1"/>
    <col min="8461" max="8461" width="5.42578125" style="6" customWidth="1"/>
    <col min="8462" max="8462" width="2.42578125" style="6" customWidth="1"/>
    <col min="8463" max="8704" width="9.140625" style="6"/>
    <col min="8705" max="8705" width="6.7109375" style="6" customWidth="1"/>
    <col min="8706" max="8706" width="3.28515625" style="6" customWidth="1"/>
    <col min="8707" max="8707" width="3.7109375" style="6" customWidth="1"/>
    <col min="8708" max="8708" width="5.28515625" style="6" customWidth="1"/>
    <col min="8709" max="8709" width="3.140625" style="6" customWidth="1"/>
    <col min="8710" max="8710" width="4" style="6" customWidth="1"/>
    <col min="8711" max="8711" width="29.28515625" style="6" customWidth="1"/>
    <col min="8712" max="8712" width="11.28515625" style="6" customWidth="1"/>
    <col min="8713" max="8713" width="4" style="6" customWidth="1"/>
    <col min="8714" max="8714" width="7" style="6" customWidth="1"/>
    <col min="8715" max="8715" width="33.140625" style="6" customWidth="1"/>
    <col min="8716" max="8716" width="3.85546875" style="6" customWidth="1"/>
    <col min="8717" max="8717" width="5.42578125" style="6" customWidth="1"/>
    <col min="8718" max="8718" width="2.42578125" style="6" customWidth="1"/>
    <col min="8719" max="8960" width="9.140625" style="6"/>
    <col min="8961" max="8961" width="6.7109375" style="6" customWidth="1"/>
    <col min="8962" max="8962" width="3.28515625" style="6" customWidth="1"/>
    <col min="8963" max="8963" width="3.7109375" style="6" customWidth="1"/>
    <col min="8964" max="8964" width="5.28515625" style="6" customWidth="1"/>
    <col min="8965" max="8965" width="3.140625" style="6" customWidth="1"/>
    <col min="8966" max="8966" width="4" style="6" customWidth="1"/>
    <col min="8967" max="8967" width="29.28515625" style="6" customWidth="1"/>
    <col min="8968" max="8968" width="11.28515625" style="6" customWidth="1"/>
    <col min="8969" max="8969" width="4" style="6" customWidth="1"/>
    <col min="8970" max="8970" width="7" style="6" customWidth="1"/>
    <col min="8971" max="8971" width="33.140625" style="6" customWidth="1"/>
    <col min="8972" max="8972" width="3.85546875" style="6" customWidth="1"/>
    <col min="8973" max="8973" width="5.42578125" style="6" customWidth="1"/>
    <col min="8974" max="8974" width="2.42578125" style="6" customWidth="1"/>
    <col min="8975" max="9216" width="9.140625" style="6"/>
    <col min="9217" max="9217" width="6.7109375" style="6" customWidth="1"/>
    <col min="9218" max="9218" width="3.28515625" style="6" customWidth="1"/>
    <col min="9219" max="9219" width="3.7109375" style="6" customWidth="1"/>
    <col min="9220" max="9220" width="5.28515625" style="6" customWidth="1"/>
    <col min="9221" max="9221" width="3.140625" style="6" customWidth="1"/>
    <col min="9222" max="9222" width="4" style="6" customWidth="1"/>
    <col min="9223" max="9223" width="29.28515625" style="6" customWidth="1"/>
    <col min="9224" max="9224" width="11.28515625" style="6" customWidth="1"/>
    <col min="9225" max="9225" width="4" style="6" customWidth="1"/>
    <col min="9226" max="9226" width="7" style="6" customWidth="1"/>
    <col min="9227" max="9227" width="33.140625" style="6" customWidth="1"/>
    <col min="9228" max="9228" width="3.85546875" style="6" customWidth="1"/>
    <col min="9229" max="9229" width="5.42578125" style="6" customWidth="1"/>
    <col min="9230" max="9230" width="2.42578125" style="6" customWidth="1"/>
    <col min="9231" max="9472" width="9.140625" style="6"/>
    <col min="9473" max="9473" width="6.7109375" style="6" customWidth="1"/>
    <col min="9474" max="9474" width="3.28515625" style="6" customWidth="1"/>
    <col min="9475" max="9475" width="3.7109375" style="6" customWidth="1"/>
    <col min="9476" max="9476" width="5.28515625" style="6" customWidth="1"/>
    <col min="9477" max="9477" width="3.140625" style="6" customWidth="1"/>
    <col min="9478" max="9478" width="4" style="6" customWidth="1"/>
    <col min="9479" max="9479" width="29.28515625" style="6" customWidth="1"/>
    <col min="9480" max="9480" width="11.28515625" style="6" customWidth="1"/>
    <col min="9481" max="9481" width="4" style="6" customWidth="1"/>
    <col min="9482" max="9482" width="7" style="6" customWidth="1"/>
    <col min="9483" max="9483" width="33.140625" style="6" customWidth="1"/>
    <col min="9484" max="9484" width="3.85546875" style="6" customWidth="1"/>
    <col min="9485" max="9485" width="5.42578125" style="6" customWidth="1"/>
    <col min="9486" max="9486" width="2.42578125" style="6" customWidth="1"/>
    <col min="9487" max="9728" width="9.140625" style="6"/>
    <col min="9729" max="9729" width="6.7109375" style="6" customWidth="1"/>
    <col min="9730" max="9730" width="3.28515625" style="6" customWidth="1"/>
    <col min="9731" max="9731" width="3.7109375" style="6" customWidth="1"/>
    <col min="9732" max="9732" width="5.28515625" style="6" customWidth="1"/>
    <col min="9733" max="9733" width="3.140625" style="6" customWidth="1"/>
    <col min="9734" max="9734" width="4" style="6" customWidth="1"/>
    <col min="9735" max="9735" width="29.28515625" style="6" customWidth="1"/>
    <col min="9736" max="9736" width="11.28515625" style="6" customWidth="1"/>
    <col min="9737" max="9737" width="4" style="6" customWidth="1"/>
    <col min="9738" max="9738" width="7" style="6" customWidth="1"/>
    <col min="9739" max="9739" width="33.140625" style="6" customWidth="1"/>
    <col min="9740" max="9740" width="3.85546875" style="6" customWidth="1"/>
    <col min="9741" max="9741" width="5.42578125" style="6" customWidth="1"/>
    <col min="9742" max="9742" width="2.42578125" style="6" customWidth="1"/>
    <col min="9743" max="9984" width="9.140625" style="6"/>
    <col min="9985" max="9985" width="6.7109375" style="6" customWidth="1"/>
    <col min="9986" max="9986" width="3.28515625" style="6" customWidth="1"/>
    <col min="9987" max="9987" width="3.7109375" style="6" customWidth="1"/>
    <col min="9988" max="9988" width="5.28515625" style="6" customWidth="1"/>
    <col min="9989" max="9989" width="3.140625" style="6" customWidth="1"/>
    <col min="9990" max="9990" width="4" style="6" customWidth="1"/>
    <col min="9991" max="9991" width="29.28515625" style="6" customWidth="1"/>
    <col min="9992" max="9992" width="11.28515625" style="6" customWidth="1"/>
    <col min="9993" max="9993" width="4" style="6" customWidth="1"/>
    <col min="9994" max="9994" width="7" style="6" customWidth="1"/>
    <col min="9995" max="9995" width="33.140625" style="6" customWidth="1"/>
    <col min="9996" max="9996" width="3.85546875" style="6" customWidth="1"/>
    <col min="9997" max="9997" width="5.42578125" style="6" customWidth="1"/>
    <col min="9998" max="9998" width="2.42578125" style="6" customWidth="1"/>
    <col min="9999" max="10240" width="9.140625" style="6"/>
    <col min="10241" max="10241" width="6.7109375" style="6" customWidth="1"/>
    <col min="10242" max="10242" width="3.28515625" style="6" customWidth="1"/>
    <col min="10243" max="10243" width="3.7109375" style="6" customWidth="1"/>
    <col min="10244" max="10244" width="5.28515625" style="6" customWidth="1"/>
    <col min="10245" max="10245" width="3.140625" style="6" customWidth="1"/>
    <col min="10246" max="10246" width="4" style="6" customWidth="1"/>
    <col min="10247" max="10247" width="29.28515625" style="6" customWidth="1"/>
    <col min="10248" max="10248" width="11.28515625" style="6" customWidth="1"/>
    <col min="10249" max="10249" width="4" style="6" customWidth="1"/>
    <col min="10250" max="10250" width="7" style="6" customWidth="1"/>
    <col min="10251" max="10251" width="33.140625" style="6" customWidth="1"/>
    <col min="10252" max="10252" width="3.85546875" style="6" customWidth="1"/>
    <col min="10253" max="10253" width="5.42578125" style="6" customWidth="1"/>
    <col min="10254" max="10254" width="2.42578125" style="6" customWidth="1"/>
    <col min="10255" max="10496" width="9.140625" style="6"/>
    <col min="10497" max="10497" width="6.7109375" style="6" customWidth="1"/>
    <col min="10498" max="10498" width="3.28515625" style="6" customWidth="1"/>
    <col min="10499" max="10499" width="3.7109375" style="6" customWidth="1"/>
    <col min="10500" max="10500" width="5.28515625" style="6" customWidth="1"/>
    <col min="10501" max="10501" width="3.140625" style="6" customWidth="1"/>
    <col min="10502" max="10502" width="4" style="6" customWidth="1"/>
    <col min="10503" max="10503" width="29.28515625" style="6" customWidth="1"/>
    <col min="10504" max="10504" width="11.28515625" style="6" customWidth="1"/>
    <col min="10505" max="10505" width="4" style="6" customWidth="1"/>
    <col min="10506" max="10506" width="7" style="6" customWidth="1"/>
    <col min="10507" max="10507" width="33.140625" style="6" customWidth="1"/>
    <col min="10508" max="10508" width="3.85546875" style="6" customWidth="1"/>
    <col min="10509" max="10509" width="5.42578125" style="6" customWidth="1"/>
    <col min="10510" max="10510" width="2.42578125" style="6" customWidth="1"/>
    <col min="10511" max="10752" width="9.140625" style="6"/>
    <col min="10753" max="10753" width="6.7109375" style="6" customWidth="1"/>
    <col min="10754" max="10754" width="3.28515625" style="6" customWidth="1"/>
    <col min="10755" max="10755" width="3.7109375" style="6" customWidth="1"/>
    <col min="10756" max="10756" width="5.28515625" style="6" customWidth="1"/>
    <col min="10757" max="10757" width="3.140625" style="6" customWidth="1"/>
    <col min="10758" max="10758" width="4" style="6" customWidth="1"/>
    <col min="10759" max="10759" width="29.28515625" style="6" customWidth="1"/>
    <col min="10760" max="10760" width="11.28515625" style="6" customWidth="1"/>
    <col min="10761" max="10761" width="4" style="6" customWidth="1"/>
    <col min="10762" max="10762" width="7" style="6" customWidth="1"/>
    <col min="10763" max="10763" width="33.140625" style="6" customWidth="1"/>
    <col min="10764" max="10764" width="3.85546875" style="6" customWidth="1"/>
    <col min="10765" max="10765" width="5.42578125" style="6" customWidth="1"/>
    <col min="10766" max="10766" width="2.42578125" style="6" customWidth="1"/>
    <col min="10767" max="11008" width="9.140625" style="6"/>
    <col min="11009" max="11009" width="6.7109375" style="6" customWidth="1"/>
    <col min="11010" max="11010" width="3.28515625" style="6" customWidth="1"/>
    <col min="11011" max="11011" width="3.7109375" style="6" customWidth="1"/>
    <col min="11012" max="11012" width="5.28515625" style="6" customWidth="1"/>
    <col min="11013" max="11013" width="3.140625" style="6" customWidth="1"/>
    <col min="11014" max="11014" width="4" style="6" customWidth="1"/>
    <col min="11015" max="11015" width="29.28515625" style="6" customWidth="1"/>
    <col min="11016" max="11016" width="11.28515625" style="6" customWidth="1"/>
    <col min="11017" max="11017" width="4" style="6" customWidth="1"/>
    <col min="11018" max="11018" width="7" style="6" customWidth="1"/>
    <col min="11019" max="11019" width="33.140625" style="6" customWidth="1"/>
    <col min="11020" max="11020" width="3.85546875" style="6" customWidth="1"/>
    <col min="11021" max="11021" width="5.42578125" style="6" customWidth="1"/>
    <col min="11022" max="11022" width="2.42578125" style="6" customWidth="1"/>
    <col min="11023" max="11264" width="9.140625" style="6"/>
    <col min="11265" max="11265" width="6.7109375" style="6" customWidth="1"/>
    <col min="11266" max="11266" width="3.28515625" style="6" customWidth="1"/>
    <col min="11267" max="11267" width="3.7109375" style="6" customWidth="1"/>
    <col min="11268" max="11268" width="5.28515625" style="6" customWidth="1"/>
    <col min="11269" max="11269" width="3.140625" style="6" customWidth="1"/>
    <col min="11270" max="11270" width="4" style="6" customWidth="1"/>
    <col min="11271" max="11271" width="29.28515625" style="6" customWidth="1"/>
    <col min="11272" max="11272" width="11.28515625" style="6" customWidth="1"/>
    <col min="11273" max="11273" width="4" style="6" customWidth="1"/>
    <col min="11274" max="11274" width="7" style="6" customWidth="1"/>
    <col min="11275" max="11275" width="33.140625" style="6" customWidth="1"/>
    <col min="11276" max="11276" width="3.85546875" style="6" customWidth="1"/>
    <col min="11277" max="11277" width="5.42578125" style="6" customWidth="1"/>
    <col min="11278" max="11278" width="2.42578125" style="6" customWidth="1"/>
    <col min="11279" max="11520" width="9.140625" style="6"/>
    <col min="11521" max="11521" width="6.7109375" style="6" customWidth="1"/>
    <col min="11522" max="11522" width="3.28515625" style="6" customWidth="1"/>
    <col min="11523" max="11523" width="3.7109375" style="6" customWidth="1"/>
    <col min="11524" max="11524" width="5.28515625" style="6" customWidth="1"/>
    <col min="11525" max="11525" width="3.140625" style="6" customWidth="1"/>
    <col min="11526" max="11526" width="4" style="6" customWidth="1"/>
    <col min="11527" max="11527" width="29.28515625" style="6" customWidth="1"/>
    <col min="11528" max="11528" width="11.28515625" style="6" customWidth="1"/>
    <col min="11529" max="11529" width="4" style="6" customWidth="1"/>
    <col min="11530" max="11530" width="7" style="6" customWidth="1"/>
    <col min="11531" max="11531" width="33.140625" style="6" customWidth="1"/>
    <col min="11532" max="11532" width="3.85546875" style="6" customWidth="1"/>
    <col min="11533" max="11533" width="5.42578125" style="6" customWidth="1"/>
    <col min="11534" max="11534" width="2.42578125" style="6" customWidth="1"/>
    <col min="11535" max="11776" width="9.140625" style="6"/>
    <col min="11777" max="11777" width="6.7109375" style="6" customWidth="1"/>
    <col min="11778" max="11778" width="3.28515625" style="6" customWidth="1"/>
    <col min="11779" max="11779" width="3.7109375" style="6" customWidth="1"/>
    <col min="11780" max="11780" width="5.28515625" style="6" customWidth="1"/>
    <col min="11781" max="11781" width="3.140625" style="6" customWidth="1"/>
    <col min="11782" max="11782" width="4" style="6" customWidth="1"/>
    <col min="11783" max="11783" width="29.28515625" style="6" customWidth="1"/>
    <col min="11784" max="11784" width="11.28515625" style="6" customWidth="1"/>
    <col min="11785" max="11785" width="4" style="6" customWidth="1"/>
    <col min="11786" max="11786" width="7" style="6" customWidth="1"/>
    <col min="11787" max="11787" width="33.140625" style="6" customWidth="1"/>
    <col min="11788" max="11788" width="3.85546875" style="6" customWidth="1"/>
    <col min="11789" max="11789" width="5.42578125" style="6" customWidth="1"/>
    <col min="11790" max="11790" width="2.42578125" style="6" customWidth="1"/>
    <col min="11791" max="12032" width="9.140625" style="6"/>
    <col min="12033" max="12033" width="6.7109375" style="6" customWidth="1"/>
    <col min="12034" max="12034" width="3.28515625" style="6" customWidth="1"/>
    <col min="12035" max="12035" width="3.7109375" style="6" customWidth="1"/>
    <col min="12036" max="12036" width="5.28515625" style="6" customWidth="1"/>
    <col min="12037" max="12037" width="3.140625" style="6" customWidth="1"/>
    <col min="12038" max="12038" width="4" style="6" customWidth="1"/>
    <col min="12039" max="12039" width="29.28515625" style="6" customWidth="1"/>
    <col min="12040" max="12040" width="11.28515625" style="6" customWidth="1"/>
    <col min="12041" max="12041" width="4" style="6" customWidth="1"/>
    <col min="12042" max="12042" width="7" style="6" customWidth="1"/>
    <col min="12043" max="12043" width="33.140625" style="6" customWidth="1"/>
    <col min="12044" max="12044" width="3.85546875" style="6" customWidth="1"/>
    <col min="12045" max="12045" width="5.42578125" style="6" customWidth="1"/>
    <col min="12046" max="12046" width="2.42578125" style="6" customWidth="1"/>
    <col min="12047" max="12288" width="9.140625" style="6"/>
    <col min="12289" max="12289" width="6.7109375" style="6" customWidth="1"/>
    <col min="12290" max="12290" width="3.28515625" style="6" customWidth="1"/>
    <col min="12291" max="12291" width="3.7109375" style="6" customWidth="1"/>
    <col min="12292" max="12292" width="5.28515625" style="6" customWidth="1"/>
    <col min="12293" max="12293" width="3.140625" style="6" customWidth="1"/>
    <col min="12294" max="12294" width="4" style="6" customWidth="1"/>
    <col min="12295" max="12295" width="29.28515625" style="6" customWidth="1"/>
    <col min="12296" max="12296" width="11.28515625" style="6" customWidth="1"/>
    <col min="12297" max="12297" width="4" style="6" customWidth="1"/>
    <col min="12298" max="12298" width="7" style="6" customWidth="1"/>
    <col min="12299" max="12299" width="33.140625" style="6" customWidth="1"/>
    <col min="12300" max="12300" width="3.85546875" style="6" customWidth="1"/>
    <col min="12301" max="12301" width="5.42578125" style="6" customWidth="1"/>
    <col min="12302" max="12302" width="2.42578125" style="6" customWidth="1"/>
    <col min="12303" max="12544" width="9.140625" style="6"/>
    <col min="12545" max="12545" width="6.7109375" style="6" customWidth="1"/>
    <col min="12546" max="12546" width="3.28515625" style="6" customWidth="1"/>
    <col min="12547" max="12547" width="3.7109375" style="6" customWidth="1"/>
    <col min="12548" max="12548" width="5.28515625" style="6" customWidth="1"/>
    <col min="12549" max="12549" width="3.140625" style="6" customWidth="1"/>
    <col min="12550" max="12550" width="4" style="6" customWidth="1"/>
    <col min="12551" max="12551" width="29.28515625" style="6" customWidth="1"/>
    <col min="12552" max="12552" width="11.28515625" style="6" customWidth="1"/>
    <col min="12553" max="12553" width="4" style="6" customWidth="1"/>
    <col min="12554" max="12554" width="7" style="6" customWidth="1"/>
    <col min="12555" max="12555" width="33.140625" style="6" customWidth="1"/>
    <col min="12556" max="12556" width="3.85546875" style="6" customWidth="1"/>
    <col min="12557" max="12557" width="5.42578125" style="6" customWidth="1"/>
    <col min="12558" max="12558" width="2.42578125" style="6" customWidth="1"/>
    <col min="12559" max="12800" width="9.140625" style="6"/>
    <col min="12801" max="12801" width="6.7109375" style="6" customWidth="1"/>
    <col min="12802" max="12802" width="3.28515625" style="6" customWidth="1"/>
    <col min="12803" max="12803" width="3.7109375" style="6" customWidth="1"/>
    <col min="12804" max="12804" width="5.28515625" style="6" customWidth="1"/>
    <col min="12805" max="12805" width="3.140625" style="6" customWidth="1"/>
    <col min="12806" max="12806" width="4" style="6" customWidth="1"/>
    <col min="12807" max="12807" width="29.28515625" style="6" customWidth="1"/>
    <col min="12808" max="12808" width="11.28515625" style="6" customWidth="1"/>
    <col min="12809" max="12809" width="4" style="6" customWidth="1"/>
    <col min="12810" max="12810" width="7" style="6" customWidth="1"/>
    <col min="12811" max="12811" width="33.140625" style="6" customWidth="1"/>
    <col min="12812" max="12812" width="3.85546875" style="6" customWidth="1"/>
    <col min="12813" max="12813" width="5.42578125" style="6" customWidth="1"/>
    <col min="12814" max="12814" width="2.42578125" style="6" customWidth="1"/>
    <col min="12815" max="13056" width="9.140625" style="6"/>
    <col min="13057" max="13057" width="6.7109375" style="6" customWidth="1"/>
    <col min="13058" max="13058" width="3.28515625" style="6" customWidth="1"/>
    <col min="13059" max="13059" width="3.7109375" style="6" customWidth="1"/>
    <col min="13060" max="13060" width="5.28515625" style="6" customWidth="1"/>
    <col min="13061" max="13061" width="3.140625" style="6" customWidth="1"/>
    <col min="13062" max="13062" width="4" style="6" customWidth="1"/>
    <col min="13063" max="13063" width="29.28515625" style="6" customWidth="1"/>
    <col min="13064" max="13064" width="11.28515625" style="6" customWidth="1"/>
    <col min="13065" max="13065" width="4" style="6" customWidth="1"/>
    <col min="13066" max="13066" width="7" style="6" customWidth="1"/>
    <col min="13067" max="13067" width="33.140625" style="6" customWidth="1"/>
    <col min="13068" max="13068" width="3.85546875" style="6" customWidth="1"/>
    <col min="13069" max="13069" width="5.42578125" style="6" customWidth="1"/>
    <col min="13070" max="13070" width="2.42578125" style="6" customWidth="1"/>
    <col min="13071" max="13312" width="9.140625" style="6"/>
    <col min="13313" max="13313" width="6.7109375" style="6" customWidth="1"/>
    <col min="13314" max="13314" width="3.28515625" style="6" customWidth="1"/>
    <col min="13315" max="13315" width="3.7109375" style="6" customWidth="1"/>
    <col min="13316" max="13316" width="5.28515625" style="6" customWidth="1"/>
    <col min="13317" max="13317" width="3.140625" style="6" customWidth="1"/>
    <col min="13318" max="13318" width="4" style="6" customWidth="1"/>
    <col min="13319" max="13319" width="29.28515625" style="6" customWidth="1"/>
    <col min="13320" max="13320" width="11.28515625" style="6" customWidth="1"/>
    <col min="13321" max="13321" width="4" style="6" customWidth="1"/>
    <col min="13322" max="13322" width="7" style="6" customWidth="1"/>
    <col min="13323" max="13323" width="33.140625" style="6" customWidth="1"/>
    <col min="13324" max="13324" width="3.85546875" style="6" customWidth="1"/>
    <col min="13325" max="13325" width="5.42578125" style="6" customWidth="1"/>
    <col min="13326" max="13326" width="2.42578125" style="6" customWidth="1"/>
    <col min="13327" max="13568" width="9.140625" style="6"/>
    <col min="13569" max="13569" width="6.7109375" style="6" customWidth="1"/>
    <col min="13570" max="13570" width="3.28515625" style="6" customWidth="1"/>
    <col min="13571" max="13571" width="3.7109375" style="6" customWidth="1"/>
    <col min="13572" max="13572" width="5.28515625" style="6" customWidth="1"/>
    <col min="13573" max="13573" width="3.140625" style="6" customWidth="1"/>
    <col min="13574" max="13574" width="4" style="6" customWidth="1"/>
    <col min="13575" max="13575" width="29.28515625" style="6" customWidth="1"/>
    <col min="13576" max="13576" width="11.28515625" style="6" customWidth="1"/>
    <col min="13577" max="13577" width="4" style="6" customWidth="1"/>
    <col min="13578" max="13578" width="7" style="6" customWidth="1"/>
    <col min="13579" max="13579" width="33.140625" style="6" customWidth="1"/>
    <col min="13580" max="13580" width="3.85546875" style="6" customWidth="1"/>
    <col min="13581" max="13581" width="5.42578125" style="6" customWidth="1"/>
    <col min="13582" max="13582" width="2.42578125" style="6" customWidth="1"/>
    <col min="13583" max="13824" width="9.140625" style="6"/>
    <col min="13825" max="13825" width="6.7109375" style="6" customWidth="1"/>
    <col min="13826" max="13826" width="3.28515625" style="6" customWidth="1"/>
    <col min="13827" max="13827" width="3.7109375" style="6" customWidth="1"/>
    <col min="13828" max="13828" width="5.28515625" style="6" customWidth="1"/>
    <col min="13829" max="13829" width="3.140625" style="6" customWidth="1"/>
    <col min="13830" max="13830" width="4" style="6" customWidth="1"/>
    <col min="13831" max="13831" width="29.28515625" style="6" customWidth="1"/>
    <col min="13832" max="13832" width="11.28515625" style="6" customWidth="1"/>
    <col min="13833" max="13833" width="4" style="6" customWidth="1"/>
    <col min="13834" max="13834" width="7" style="6" customWidth="1"/>
    <col min="13835" max="13835" width="33.140625" style="6" customWidth="1"/>
    <col min="13836" max="13836" width="3.85546875" style="6" customWidth="1"/>
    <col min="13837" max="13837" width="5.42578125" style="6" customWidth="1"/>
    <col min="13838" max="13838" width="2.42578125" style="6" customWidth="1"/>
    <col min="13839" max="14080" width="9.140625" style="6"/>
    <col min="14081" max="14081" width="6.7109375" style="6" customWidth="1"/>
    <col min="14082" max="14082" width="3.28515625" style="6" customWidth="1"/>
    <col min="14083" max="14083" width="3.7109375" style="6" customWidth="1"/>
    <col min="14084" max="14084" width="5.28515625" style="6" customWidth="1"/>
    <col min="14085" max="14085" width="3.140625" style="6" customWidth="1"/>
    <col min="14086" max="14086" width="4" style="6" customWidth="1"/>
    <col min="14087" max="14087" width="29.28515625" style="6" customWidth="1"/>
    <col min="14088" max="14088" width="11.28515625" style="6" customWidth="1"/>
    <col min="14089" max="14089" width="4" style="6" customWidth="1"/>
    <col min="14090" max="14090" width="7" style="6" customWidth="1"/>
    <col min="14091" max="14091" width="33.140625" style="6" customWidth="1"/>
    <col min="14092" max="14092" width="3.85546875" style="6" customWidth="1"/>
    <col min="14093" max="14093" width="5.42578125" style="6" customWidth="1"/>
    <col min="14094" max="14094" width="2.42578125" style="6" customWidth="1"/>
    <col min="14095" max="14336" width="9.140625" style="6"/>
    <col min="14337" max="14337" width="6.7109375" style="6" customWidth="1"/>
    <col min="14338" max="14338" width="3.28515625" style="6" customWidth="1"/>
    <col min="14339" max="14339" width="3.7109375" style="6" customWidth="1"/>
    <col min="14340" max="14340" width="5.28515625" style="6" customWidth="1"/>
    <col min="14341" max="14341" width="3.140625" style="6" customWidth="1"/>
    <col min="14342" max="14342" width="4" style="6" customWidth="1"/>
    <col min="14343" max="14343" width="29.28515625" style="6" customWidth="1"/>
    <col min="14344" max="14344" width="11.28515625" style="6" customWidth="1"/>
    <col min="14345" max="14345" width="4" style="6" customWidth="1"/>
    <col min="14346" max="14346" width="7" style="6" customWidth="1"/>
    <col min="14347" max="14347" width="33.140625" style="6" customWidth="1"/>
    <col min="14348" max="14348" width="3.85546875" style="6" customWidth="1"/>
    <col min="14349" max="14349" width="5.42578125" style="6" customWidth="1"/>
    <col min="14350" max="14350" width="2.42578125" style="6" customWidth="1"/>
    <col min="14351" max="14592" width="9.140625" style="6"/>
    <col min="14593" max="14593" width="6.7109375" style="6" customWidth="1"/>
    <col min="14594" max="14594" width="3.28515625" style="6" customWidth="1"/>
    <col min="14595" max="14595" width="3.7109375" style="6" customWidth="1"/>
    <col min="14596" max="14596" width="5.28515625" style="6" customWidth="1"/>
    <col min="14597" max="14597" width="3.140625" style="6" customWidth="1"/>
    <col min="14598" max="14598" width="4" style="6" customWidth="1"/>
    <col min="14599" max="14599" width="29.28515625" style="6" customWidth="1"/>
    <col min="14600" max="14600" width="11.28515625" style="6" customWidth="1"/>
    <col min="14601" max="14601" width="4" style="6" customWidth="1"/>
    <col min="14602" max="14602" width="7" style="6" customWidth="1"/>
    <col min="14603" max="14603" width="33.140625" style="6" customWidth="1"/>
    <col min="14604" max="14604" width="3.85546875" style="6" customWidth="1"/>
    <col min="14605" max="14605" width="5.42578125" style="6" customWidth="1"/>
    <col min="14606" max="14606" width="2.42578125" style="6" customWidth="1"/>
    <col min="14607" max="14848" width="9.140625" style="6"/>
    <col min="14849" max="14849" width="6.7109375" style="6" customWidth="1"/>
    <col min="14850" max="14850" width="3.28515625" style="6" customWidth="1"/>
    <col min="14851" max="14851" width="3.7109375" style="6" customWidth="1"/>
    <col min="14852" max="14852" width="5.28515625" style="6" customWidth="1"/>
    <col min="14853" max="14853" width="3.140625" style="6" customWidth="1"/>
    <col min="14854" max="14854" width="4" style="6" customWidth="1"/>
    <col min="14855" max="14855" width="29.28515625" style="6" customWidth="1"/>
    <col min="14856" max="14856" width="11.28515625" style="6" customWidth="1"/>
    <col min="14857" max="14857" width="4" style="6" customWidth="1"/>
    <col min="14858" max="14858" width="7" style="6" customWidth="1"/>
    <col min="14859" max="14859" width="33.140625" style="6" customWidth="1"/>
    <col min="14860" max="14860" width="3.85546875" style="6" customWidth="1"/>
    <col min="14861" max="14861" width="5.42578125" style="6" customWidth="1"/>
    <col min="14862" max="14862" width="2.42578125" style="6" customWidth="1"/>
    <col min="14863" max="15104" width="9.140625" style="6"/>
    <col min="15105" max="15105" width="6.7109375" style="6" customWidth="1"/>
    <col min="15106" max="15106" width="3.28515625" style="6" customWidth="1"/>
    <col min="15107" max="15107" width="3.7109375" style="6" customWidth="1"/>
    <col min="15108" max="15108" width="5.28515625" style="6" customWidth="1"/>
    <col min="15109" max="15109" width="3.140625" style="6" customWidth="1"/>
    <col min="15110" max="15110" width="4" style="6" customWidth="1"/>
    <col min="15111" max="15111" width="29.28515625" style="6" customWidth="1"/>
    <col min="15112" max="15112" width="11.28515625" style="6" customWidth="1"/>
    <col min="15113" max="15113" width="4" style="6" customWidth="1"/>
    <col min="15114" max="15114" width="7" style="6" customWidth="1"/>
    <col min="15115" max="15115" width="33.140625" style="6" customWidth="1"/>
    <col min="15116" max="15116" width="3.85546875" style="6" customWidth="1"/>
    <col min="15117" max="15117" width="5.42578125" style="6" customWidth="1"/>
    <col min="15118" max="15118" width="2.42578125" style="6" customWidth="1"/>
    <col min="15119" max="15360" width="9.140625" style="6"/>
    <col min="15361" max="15361" width="6.7109375" style="6" customWidth="1"/>
    <col min="15362" max="15362" width="3.28515625" style="6" customWidth="1"/>
    <col min="15363" max="15363" width="3.7109375" style="6" customWidth="1"/>
    <col min="15364" max="15364" width="5.28515625" style="6" customWidth="1"/>
    <col min="15365" max="15365" width="3.140625" style="6" customWidth="1"/>
    <col min="15366" max="15366" width="4" style="6" customWidth="1"/>
    <col min="15367" max="15367" width="29.28515625" style="6" customWidth="1"/>
    <col min="15368" max="15368" width="11.28515625" style="6" customWidth="1"/>
    <col min="15369" max="15369" width="4" style="6" customWidth="1"/>
    <col min="15370" max="15370" width="7" style="6" customWidth="1"/>
    <col min="15371" max="15371" width="33.140625" style="6" customWidth="1"/>
    <col min="15372" max="15372" width="3.85546875" style="6" customWidth="1"/>
    <col min="15373" max="15373" width="5.42578125" style="6" customWidth="1"/>
    <col min="15374" max="15374" width="2.42578125" style="6" customWidth="1"/>
    <col min="15375" max="15616" width="9.140625" style="6"/>
    <col min="15617" max="15617" width="6.7109375" style="6" customWidth="1"/>
    <col min="15618" max="15618" width="3.28515625" style="6" customWidth="1"/>
    <col min="15619" max="15619" width="3.7109375" style="6" customWidth="1"/>
    <col min="15620" max="15620" width="5.28515625" style="6" customWidth="1"/>
    <col min="15621" max="15621" width="3.140625" style="6" customWidth="1"/>
    <col min="15622" max="15622" width="4" style="6" customWidth="1"/>
    <col min="15623" max="15623" width="29.28515625" style="6" customWidth="1"/>
    <col min="15624" max="15624" width="11.28515625" style="6" customWidth="1"/>
    <col min="15625" max="15625" width="4" style="6" customWidth="1"/>
    <col min="15626" max="15626" width="7" style="6" customWidth="1"/>
    <col min="15627" max="15627" width="33.140625" style="6" customWidth="1"/>
    <col min="15628" max="15628" width="3.85546875" style="6" customWidth="1"/>
    <col min="15629" max="15629" width="5.42578125" style="6" customWidth="1"/>
    <col min="15630" max="15630" width="2.42578125" style="6" customWidth="1"/>
    <col min="15631" max="15872" width="9.140625" style="6"/>
    <col min="15873" max="15873" width="6.7109375" style="6" customWidth="1"/>
    <col min="15874" max="15874" width="3.28515625" style="6" customWidth="1"/>
    <col min="15875" max="15875" width="3.7109375" style="6" customWidth="1"/>
    <col min="15876" max="15876" width="5.28515625" style="6" customWidth="1"/>
    <col min="15877" max="15877" width="3.140625" style="6" customWidth="1"/>
    <col min="15878" max="15878" width="4" style="6" customWidth="1"/>
    <col min="15879" max="15879" width="29.28515625" style="6" customWidth="1"/>
    <col min="15880" max="15880" width="11.28515625" style="6" customWidth="1"/>
    <col min="15881" max="15881" width="4" style="6" customWidth="1"/>
    <col min="15882" max="15882" width="7" style="6" customWidth="1"/>
    <col min="15883" max="15883" width="33.140625" style="6" customWidth="1"/>
    <col min="15884" max="15884" width="3.85546875" style="6" customWidth="1"/>
    <col min="15885" max="15885" width="5.42578125" style="6" customWidth="1"/>
    <col min="15886" max="15886" width="2.42578125" style="6" customWidth="1"/>
    <col min="15887" max="16128" width="9.140625" style="6"/>
    <col min="16129" max="16129" width="6.7109375" style="6" customWidth="1"/>
    <col min="16130" max="16130" width="3.28515625" style="6" customWidth="1"/>
    <col min="16131" max="16131" width="3.7109375" style="6" customWidth="1"/>
    <col min="16132" max="16132" width="5.28515625" style="6" customWidth="1"/>
    <col min="16133" max="16133" width="3.140625" style="6" customWidth="1"/>
    <col min="16134" max="16134" width="4" style="6" customWidth="1"/>
    <col min="16135" max="16135" width="29.28515625" style="6" customWidth="1"/>
    <col min="16136" max="16136" width="11.28515625" style="6" customWidth="1"/>
    <col min="16137" max="16137" width="4" style="6" customWidth="1"/>
    <col min="16138" max="16138" width="7" style="6" customWidth="1"/>
    <col min="16139" max="16139" width="33.140625" style="6" customWidth="1"/>
    <col min="16140" max="16140" width="3.85546875" style="6" customWidth="1"/>
    <col min="16141" max="16141" width="5.42578125" style="6" customWidth="1"/>
    <col min="16142" max="16142" width="2.42578125" style="6" customWidth="1"/>
    <col min="16143" max="16384" width="9.140625" style="6"/>
  </cols>
  <sheetData>
    <row r="1" spans="1:14" ht="18" customHeight="1" x14ac:dyDescent="0.25">
      <c r="A1" s="3"/>
      <c r="B1" s="3"/>
      <c r="C1" s="3"/>
      <c r="D1" s="3"/>
      <c r="E1" s="3"/>
      <c r="F1" s="3"/>
      <c r="G1" s="4"/>
      <c r="H1" s="3" t="s">
        <v>85</v>
      </c>
      <c r="I1" s="3"/>
      <c r="J1" s="3"/>
      <c r="K1" s="3"/>
      <c r="L1" s="5"/>
      <c r="M1" s="5"/>
    </row>
    <row r="2" spans="1:14" ht="18" customHeight="1" x14ac:dyDescent="0.25">
      <c r="B2" s="5"/>
      <c r="C2" s="5"/>
      <c r="D2" s="5"/>
      <c r="E2" s="5"/>
      <c r="F2" s="5"/>
      <c r="H2" s="3" t="s">
        <v>86</v>
      </c>
      <c r="I2" s="5"/>
      <c r="J2" s="5"/>
      <c r="K2" s="5"/>
      <c r="L2" s="5"/>
      <c r="M2" s="5"/>
    </row>
    <row r="3" spans="1:14" ht="18" customHeight="1" x14ac:dyDescent="0.25">
      <c r="B3" s="7"/>
      <c r="C3" s="7"/>
      <c r="D3" s="7"/>
      <c r="E3" s="7"/>
      <c r="F3" s="7"/>
      <c r="H3" s="2" t="s">
        <v>87</v>
      </c>
      <c r="I3" s="7"/>
      <c r="J3" s="7"/>
      <c r="K3" s="7"/>
      <c r="L3" s="7"/>
      <c r="M3" s="7"/>
    </row>
    <row r="4" spans="1:14" ht="18" customHeight="1" x14ac:dyDescent="0.2">
      <c r="B4" s="5"/>
      <c r="C4" s="5"/>
      <c r="D4" s="5"/>
      <c r="E4" s="5"/>
      <c r="F4" s="5"/>
      <c r="H4" s="3" t="s">
        <v>88</v>
      </c>
      <c r="I4" s="5"/>
      <c r="J4" s="5"/>
      <c r="K4" s="5"/>
      <c r="L4" s="5"/>
      <c r="M4" s="5"/>
    </row>
    <row r="5" spans="1:14" ht="18" customHeight="1" x14ac:dyDescent="0.25">
      <c r="B5" s="5"/>
      <c r="C5" s="5"/>
      <c r="D5" s="5"/>
      <c r="E5" s="5"/>
      <c r="F5" s="5"/>
      <c r="H5" s="3" t="s">
        <v>89</v>
      </c>
      <c r="I5" s="5"/>
      <c r="J5" s="5"/>
      <c r="K5" s="5"/>
      <c r="L5" s="5"/>
      <c r="M5" s="5"/>
    </row>
    <row r="6" spans="1:14" ht="18" customHeight="1" x14ac:dyDescent="0.25">
      <c r="B6" s="8"/>
      <c r="C6" s="8"/>
      <c r="D6" s="8"/>
      <c r="E6" s="8"/>
      <c r="F6" s="8"/>
      <c r="H6" s="9" t="s">
        <v>90</v>
      </c>
      <c r="I6" s="8"/>
      <c r="J6" s="8"/>
      <c r="K6" s="8"/>
      <c r="L6" s="10"/>
      <c r="M6" s="10"/>
    </row>
    <row r="7" spans="1:14" ht="18" customHeight="1" thickBot="1" x14ac:dyDescent="0.3">
      <c r="A7" s="11"/>
      <c r="B7" s="11"/>
      <c r="C7" s="11"/>
      <c r="D7" s="11"/>
      <c r="E7" s="11"/>
      <c r="F7" s="11"/>
      <c r="G7" s="12"/>
      <c r="H7" s="12"/>
      <c r="I7" s="12"/>
      <c r="J7" s="12"/>
      <c r="K7" s="12"/>
      <c r="L7" s="10"/>
      <c r="M7" s="10"/>
    </row>
    <row r="8" spans="1:14" ht="18" customHeight="1" x14ac:dyDescent="0.25">
      <c r="G8" s="13"/>
      <c r="H8" s="13"/>
      <c r="I8" s="13"/>
      <c r="J8" s="13"/>
      <c r="K8" s="13"/>
      <c r="L8" s="10"/>
      <c r="M8" s="10"/>
    </row>
    <row r="9" spans="1:14" ht="18" customHeight="1" x14ac:dyDescent="0.35">
      <c r="A9" s="271" t="s">
        <v>91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14"/>
    </row>
    <row r="12" spans="1:14" ht="18" customHeight="1" x14ac:dyDescent="0.35">
      <c r="K12" s="6" t="s">
        <v>2</v>
      </c>
    </row>
    <row r="13" spans="1:14" ht="18" customHeight="1" x14ac:dyDescent="0.35">
      <c r="B13" s="6" t="s">
        <v>92</v>
      </c>
      <c r="K13" s="6" t="s">
        <v>2</v>
      </c>
    </row>
    <row r="15" spans="1:14" ht="18" customHeight="1" x14ac:dyDescent="0.35">
      <c r="B15" s="6" t="s">
        <v>93</v>
      </c>
      <c r="E15" s="6" t="s">
        <v>37</v>
      </c>
      <c r="F15" s="15" t="str">
        <f>'Rincian Biaya Perjadin (2)'!J33</f>
        <v>Dr. Ir. Selamat Muslimin, S.T., M.Kom.</v>
      </c>
      <c r="G15" s="16"/>
      <c r="N15" s="16"/>
    </row>
    <row r="16" spans="1:14" ht="18" customHeight="1" x14ac:dyDescent="0.35">
      <c r="B16" s="6" t="s">
        <v>4</v>
      </c>
      <c r="E16" s="6" t="s">
        <v>37</v>
      </c>
      <c r="F16" s="17" t="str">
        <f>'Rincian Biaya Perjadin (2)'!K34</f>
        <v>197907222008011007</v>
      </c>
      <c r="G16" s="18"/>
      <c r="N16" s="19"/>
    </row>
    <row r="17" spans="2:19" ht="18" customHeight="1" x14ac:dyDescent="0.35">
      <c r="B17" s="6" t="s">
        <v>94</v>
      </c>
      <c r="E17" s="6" t="s">
        <v>37</v>
      </c>
      <c r="F17" s="20" t="s">
        <v>183</v>
      </c>
    </row>
    <row r="19" spans="2:19" ht="30.75" customHeight="1" x14ac:dyDescent="0.35">
      <c r="B19" s="272" t="str">
        <f>'Surat Pernyataan'!B19:K19</f>
        <v>Berdasarkan Surat Tugas tanggal 15 Januari 2026 Nomor: 0361/PL6.4.2/ST/2025 dengan ini kami menyatakan dengan sesungguhnya bahwa :</v>
      </c>
      <c r="C19" s="272"/>
      <c r="D19" s="272"/>
      <c r="E19" s="272"/>
      <c r="F19" s="272"/>
      <c r="G19" s="272"/>
      <c r="H19" s="272"/>
      <c r="I19" s="272"/>
      <c r="J19" s="272"/>
      <c r="K19" s="272"/>
    </row>
    <row r="21" spans="2:19" ht="45.75" customHeight="1" x14ac:dyDescent="0.35">
      <c r="B21" s="21" t="s">
        <v>23</v>
      </c>
      <c r="C21" s="272" t="s">
        <v>95</v>
      </c>
      <c r="D21" s="272"/>
      <c r="E21" s="272"/>
      <c r="F21" s="272"/>
      <c r="G21" s="272"/>
      <c r="H21" s="272"/>
      <c r="I21" s="272"/>
      <c r="J21" s="272"/>
      <c r="K21" s="272"/>
      <c r="L21" s="21"/>
    </row>
    <row r="22" spans="2:19" ht="15" customHeight="1" x14ac:dyDescent="0.35"/>
    <row r="23" spans="2:19" s="21" customFormat="1" ht="30.75" customHeight="1" x14ac:dyDescent="0.35">
      <c r="B23" s="21" t="s">
        <v>96</v>
      </c>
      <c r="C23" s="272" t="s">
        <v>97</v>
      </c>
      <c r="D23" s="272"/>
      <c r="E23" s="272"/>
      <c r="F23" s="272"/>
      <c r="G23" s="272"/>
      <c r="H23" s="272"/>
      <c r="I23" s="272"/>
      <c r="J23" s="272"/>
      <c r="K23" s="272"/>
      <c r="S23" s="21" t="s">
        <v>2</v>
      </c>
    </row>
    <row r="24" spans="2:19" ht="15" customHeight="1" x14ac:dyDescent="0.35">
      <c r="B24" s="6" t="s">
        <v>2</v>
      </c>
    </row>
    <row r="25" spans="2:19" ht="22.5" customHeight="1" x14ac:dyDescent="0.35">
      <c r="B25" s="272" t="s">
        <v>98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1"/>
    </row>
    <row r="26" spans="2:19" ht="15" customHeight="1" x14ac:dyDescent="0.35"/>
    <row r="27" spans="2:19" ht="18" customHeight="1" x14ac:dyDescent="0.35">
      <c r="B27" s="6" t="s">
        <v>99</v>
      </c>
      <c r="I27" s="22" t="s">
        <v>100</v>
      </c>
      <c r="K27" s="23" t="s">
        <v>209</v>
      </c>
      <c r="O27" s="6" t="s">
        <v>5</v>
      </c>
    </row>
    <row r="28" spans="2:19" ht="18" customHeight="1" x14ac:dyDescent="0.35">
      <c r="B28" s="6" t="s">
        <v>101</v>
      </c>
      <c r="I28" s="6" t="s">
        <v>102</v>
      </c>
    </row>
    <row r="29" spans="2:19" ht="18" customHeight="1" x14ac:dyDescent="0.35">
      <c r="B29" s="6" t="s">
        <v>62</v>
      </c>
      <c r="K29" s="6" t="s">
        <v>2</v>
      </c>
    </row>
    <row r="32" spans="2:19" ht="18" customHeight="1" x14ac:dyDescent="0.25">
      <c r="B32" s="6" t="str">
        <f>'Rincian Biaya Perjadin'!G50</f>
        <v>Dodi Oktavianto, S.E.</v>
      </c>
      <c r="I32" s="6" t="str">
        <f>F15</f>
        <v>Dr. Ir. Selamat Muslimin, S.T., M.Kom.</v>
      </c>
    </row>
    <row r="33" spans="2:10" ht="18" customHeight="1" x14ac:dyDescent="0.25">
      <c r="B33" s="6" t="s">
        <v>64</v>
      </c>
      <c r="I33" s="6" t="s">
        <v>4</v>
      </c>
      <c r="J33" s="22" t="str">
        <f>F16</f>
        <v>197907222008011007</v>
      </c>
    </row>
    <row r="34" spans="2:10" ht="18" customHeight="1" x14ac:dyDescent="0.25">
      <c r="J34" s="22"/>
    </row>
    <row r="35" spans="2:10" ht="18" customHeight="1" x14ac:dyDescent="0.25">
      <c r="I35" s="6" t="s">
        <v>103</v>
      </c>
      <c r="J35" s="22"/>
    </row>
    <row r="36" spans="2:10" ht="18" customHeight="1" x14ac:dyDescent="0.25">
      <c r="J36" s="22"/>
    </row>
  </sheetData>
  <mergeCells count="5">
    <mergeCell ref="A9:K9"/>
    <mergeCell ref="B19:K19"/>
    <mergeCell ref="C21:K21"/>
    <mergeCell ref="C23:K23"/>
    <mergeCell ref="B25:K25"/>
  </mergeCells>
  <hyperlinks>
    <hyperlink ref="H6" r:id="rId1" display="http://polsri.ac.id/"/>
  </hyperlinks>
  <printOptions horizontalCentered="1"/>
  <pageMargins left="0.47244094488188981" right="0" top="1.1417322834645669" bottom="0.74803149606299213" header="0.31496062992125984" footer="0.31496062992125984"/>
  <pageSetup paperSize="9" scale="85" orientation="portrait" horizontalDpi="360" verticalDpi="36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opLeftCell="A12" workbookViewId="0">
      <selection activeCell="P21" sqref="P21"/>
    </sheetView>
  </sheetViews>
  <sheetFormatPr defaultRowHeight="18" customHeight="1" x14ac:dyDescent="0.25"/>
  <cols>
    <col min="1" max="1" width="6.7109375" style="6" customWidth="1"/>
    <col min="2" max="2" width="3.28515625" style="6" customWidth="1"/>
    <col min="3" max="3" width="3.7109375" style="6" customWidth="1"/>
    <col min="4" max="4" width="5.28515625" style="6" customWidth="1"/>
    <col min="5" max="5" width="3.140625" style="6" customWidth="1"/>
    <col min="6" max="6" width="4" style="6" customWidth="1"/>
    <col min="7" max="7" width="29.28515625" style="6" customWidth="1"/>
    <col min="8" max="8" width="11.28515625" style="6" customWidth="1"/>
    <col min="9" max="9" width="4" style="6" customWidth="1"/>
    <col min="10" max="10" width="7" style="6" customWidth="1"/>
    <col min="11" max="11" width="33.140625" style="6" customWidth="1"/>
    <col min="12" max="12" width="3.85546875" style="6" customWidth="1"/>
    <col min="13" max="13" width="5.42578125" style="6" customWidth="1"/>
    <col min="14" max="14" width="2.42578125" style="6" customWidth="1"/>
    <col min="15" max="256" width="9.140625" style="6"/>
    <col min="257" max="257" width="6.7109375" style="6" customWidth="1"/>
    <col min="258" max="258" width="3.28515625" style="6" customWidth="1"/>
    <col min="259" max="259" width="3.7109375" style="6" customWidth="1"/>
    <col min="260" max="260" width="5.28515625" style="6" customWidth="1"/>
    <col min="261" max="261" width="3.140625" style="6" customWidth="1"/>
    <col min="262" max="262" width="4" style="6" customWidth="1"/>
    <col min="263" max="263" width="29.28515625" style="6" customWidth="1"/>
    <col min="264" max="264" width="11.28515625" style="6" customWidth="1"/>
    <col min="265" max="265" width="4" style="6" customWidth="1"/>
    <col min="266" max="266" width="7" style="6" customWidth="1"/>
    <col min="267" max="267" width="33.140625" style="6" customWidth="1"/>
    <col min="268" max="268" width="3.85546875" style="6" customWidth="1"/>
    <col min="269" max="269" width="5.42578125" style="6" customWidth="1"/>
    <col min="270" max="270" width="2.42578125" style="6" customWidth="1"/>
    <col min="271" max="512" width="9.140625" style="6"/>
    <col min="513" max="513" width="6.7109375" style="6" customWidth="1"/>
    <col min="514" max="514" width="3.28515625" style="6" customWidth="1"/>
    <col min="515" max="515" width="3.7109375" style="6" customWidth="1"/>
    <col min="516" max="516" width="5.28515625" style="6" customWidth="1"/>
    <col min="517" max="517" width="3.140625" style="6" customWidth="1"/>
    <col min="518" max="518" width="4" style="6" customWidth="1"/>
    <col min="519" max="519" width="29.28515625" style="6" customWidth="1"/>
    <col min="520" max="520" width="11.28515625" style="6" customWidth="1"/>
    <col min="521" max="521" width="4" style="6" customWidth="1"/>
    <col min="522" max="522" width="7" style="6" customWidth="1"/>
    <col min="523" max="523" width="33.140625" style="6" customWidth="1"/>
    <col min="524" max="524" width="3.85546875" style="6" customWidth="1"/>
    <col min="525" max="525" width="5.42578125" style="6" customWidth="1"/>
    <col min="526" max="526" width="2.42578125" style="6" customWidth="1"/>
    <col min="527" max="768" width="9.140625" style="6"/>
    <col min="769" max="769" width="6.7109375" style="6" customWidth="1"/>
    <col min="770" max="770" width="3.28515625" style="6" customWidth="1"/>
    <col min="771" max="771" width="3.7109375" style="6" customWidth="1"/>
    <col min="772" max="772" width="5.28515625" style="6" customWidth="1"/>
    <col min="773" max="773" width="3.140625" style="6" customWidth="1"/>
    <col min="774" max="774" width="4" style="6" customWidth="1"/>
    <col min="775" max="775" width="29.28515625" style="6" customWidth="1"/>
    <col min="776" max="776" width="11.28515625" style="6" customWidth="1"/>
    <col min="777" max="777" width="4" style="6" customWidth="1"/>
    <col min="778" max="778" width="7" style="6" customWidth="1"/>
    <col min="779" max="779" width="33.140625" style="6" customWidth="1"/>
    <col min="780" max="780" width="3.85546875" style="6" customWidth="1"/>
    <col min="781" max="781" width="5.42578125" style="6" customWidth="1"/>
    <col min="782" max="782" width="2.42578125" style="6" customWidth="1"/>
    <col min="783" max="1024" width="9.140625" style="6"/>
    <col min="1025" max="1025" width="6.7109375" style="6" customWidth="1"/>
    <col min="1026" max="1026" width="3.28515625" style="6" customWidth="1"/>
    <col min="1027" max="1027" width="3.7109375" style="6" customWidth="1"/>
    <col min="1028" max="1028" width="5.28515625" style="6" customWidth="1"/>
    <col min="1029" max="1029" width="3.140625" style="6" customWidth="1"/>
    <col min="1030" max="1030" width="4" style="6" customWidth="1"/>
    <col min="1031" max="1031" width="29.28515625" style="6" customWidth="1"/>
    <col min="1032" max="1032" width="11.28515625" style="6" customWidth="1"/>
    <col min="1033" max="1033" width="4" style="6" customWidth="1"/>
    <col min="1034" max="1034" width="7" style="6" customWidth="1"/>
    <col min="1035" max="1035" width="33.140625" style="6" customWidth="1"/>
    <col min="1036" max="1036" width="3.85546875" style="6" customWidth="1"/>
    <col min="1037" max="1037" width="5.42578125" style="6" customWidth="1"/>
    <col min="1038" max="1038" width="2.42578125" style="6" customWidth="1"/>
    <col min="1039" max="1280" width="9.140625" style="6"/>
    <col min="1281" max="1281" width="6.7109375" style="6" customWidth="1"/>
    <col min="1282" max="1282" width="3.28515625" style="6" customWidth="1"/>
    <col min="1283" max="1283" width="3.7109375" style="6" customWidth="1"/>
    <col min="1284" max="1284" width="5.28515625" style="6" customWidth="1"/>
    <col min="1285" max="1285" width="3.140625" style="6" customWidth="1"/>
    <col min="1286" max="1286" width="4" style="6" customWidth="1"/>
    <col min="1287" max="1287" width="29.28515625" style="6" customWidth="1"/>
    <col min="1288" max="1288" width="11.28515625" style="6" customWidth="1"/>
    <col min="1289" max="1289" width="4" style="6" customWidth="1"/>
    <col min="1290" max="1290" width="7" style="6" customWidth="1"/>
    <col min="1291" max="1291" width="33.140625" style="6" customWidth="1"/>
    <col min="1292" max="1292" width="3.85546875" style="6" customWidth="1"/>
    <col min="1293" max="1293" width="5.42578125" style="6" customWidth="1"/>
    <col min="1294" max="1294" width="2.42578125" style="6" customWidth="1"/>
    <col min="1295" max="1536" width="9.140625" style="6"/>
    <col min="1537" max="1537" width="6.7109375" style="6" customWidth="1"/>
    <col min="1538" max="1538" width="3.28515625" style="6" customWidth="1"/>
    <col min="1539" max="1539" width="3.7109375" style="6" customWidth="1"/>
    <col min="1540" max="1540" width="5.28515625" style="6" customWidth="1"/>
    <col min="1541" max="1541" width="3.140625" style="6" customWidth="1"/>
    <col min="1542" max="1542" width="4" style="6" customWidth="1"/>
    <col min="1543" max="1543" width="29.28515625" style="6" customWidth="1"/>
    <col min="1544" max="1544" width="11.28515625" style="6" customWidth="1"/>
    <col min="1545" max="1545" width="4" style="6" customWidth="1"/>
    <col min="1546" max="1546" width="7" style="6" customWidth="1"/>
    <col min="1547" max="1547" width="33.140625" style="6" customWidth="1"/>
    <col min="1548" max="1548" width="3.85546875" style="6" customWidth="1"/>
    <col min="1549" max="1549" width="5.42578125" style="6" customWidth="1"/>
    <col min="1550" max="1550" width="2.42578125" style="6" customWidth="1"/>
    <col min="1551" max="1792" width="9.140625" style="6"/>
    <col min="1793" max="1793" width="6.7109375" style="6" customWidth="1"/>
    <col min="1794" max="1794" width="3.28515625" style="6" customWidth="1"/>
    <col min="1795" max="1795" width="3.7109375" style="6" customWidth="1"/>
    <col min="1796" max="1796" width="5.28515625" style="6" customWidth="1"/>
    <col min="1797" max="1797" width="3.140625" style="6" customWidth="1"/>
    <col min="1798" max="1798" width="4" style="6" customWidth="1"/>
    <col min="1799" max="1799" width="29.28515625" style="6" customWidth="1"/>
    <col min="1800" max="1800" width="11.28515625" style="6" customWidth="1"/>
    <col min="1801" max="1801" width="4" style="6" customWidth="1"/>
    <col min="1802" max="1802" width="7" style="6" customWidth="1"/>
    <col min="1803" max="1803" width="33.140625" style="6" customWidth="1"/>
    <col min="1804" max="1804" width="3.85546875" style="6" customWidth="1"/>
    <col min="1805" max="1805" width="5.42578125" style="6" customWidth="1"/>
    <col min="1806" max="1806" width="2.42578125" style="6" customWidth="1"/>
    <col min="1807" max="2048" width="9.140625" style="6"/>
    <col min="2049" max="2049" width="6.7109375" style="6" customWidth="1"/>
    <col min="2050" max="2050" width="3.28515625" style="6" customWidth="1"/>
    <col min="2051" max="2051" width="3.7109375" style="6" customWidth="1"/>
    <col min="2052" max="2052" width="5.28515625" style="6" customWidth="1"/>
    <col min="2053" max="2053" width="3.140625" style="6" customWidth="1"/>
    <col min="2054" max="2054" width="4" style="6" customWidth="1"/>
    <col min="2055" max="2055" width="29.28515625" style="6" customWidth="1"/>
    <col min="2056" max="2056" width="11.28515625" style="6" customWidth="1"/>
    <col min="2057" max="2057" width="4" style="6" customWidth="1"/>
    <col min="2058" max="2058" width="7" style="6" customWidth="1"/>
    <col min="2059" max="2059" width="33.140625" style="6" customWidth="1"/>
    <col min="2060" max="2060" width="3.85546875" style="6" customWidth="1"/>
    <col min="2061" max="2061" width="5.42578125" style="6" customWidth="1"/>
    <col min="2062" max="2062" width="2.42578125" style="6" customWidth="1"/>
    <col min="2063" max="2304" width="9.140625" style="6"/>
    <col min="2305" max="2305" width="6.7109375" style="6" customWidth="1"/>
    <col min="2306" max="2306" width="3.28515625" style="6" customWidth="1"/>
    <col min="2307" max="2307" width="3.7109375" style="6" customWidth="1"/>
    <col min="2308" max="2308" width="5.28515625" style="6" customWidth="1"/>
    <col min="2309" max="2309" width="3.140625" style="6" customWidth="1"/>
    <col min="2310" max="2310" width="4" style="6" customWidth="1"/>
    <col min="2311" max="2311" width="29.28515625" style="6" customWidth="1"/>
    <col min="2312" max="2312" width="11.28515625" style="6" customWidth="1"/>
    <col min="2313" max="2313" width="4" style="6" customWidth="1"/>
    <col min="2314" max="2314" width="7" style="6" customWidth="1"/>
    <col min="2315" max="2315" width="33.140625" style="6" customWidth="1"/>
    <col min="2316" max="2316" width="3.85546875" style="6" customWidth="1"/>
    <col min="2317" max="2317" width="5.42578125" style="6" customWidth="1"/>
    <col min="2318" max="2318" width="2.42578125" style="6" customWidth="1"/>
    <col min="2319" max="2560" width="9.140625" style="6"/>
    <col min="2561" max="2561" width="6.7109375" style="6" customWidth="1"/>
    <col min="2562" max="2562" width="3.28515625" style="6" customWidth="1"/>
    <col min="2563" max="2563" width="3.7109375" style="6" customWidth="1"/>
    <col min="2564" max="2564" width="5.28515625" style="6" customWidth="1"/>
    <col min="2565" max="2565" width="3.140625" style="6" customWidth="1"/>
    <col min="2566" max="2566" width="4" style="6" customWidth="1"/>
    <col min="2567" max="2567" width="29.28515625" style="6" customWidth="1"/>
    <col min="2568" max="2568" width="11.28515625" style="6" customWidth="1"/>
    <col min="2569" max="2569" width="4" style="6" customWidth="1"/>
    <col min="2570" max="2570" width="7" style="6" customWidth="1"/>
    <col min="2571" max="2571" width="33.140625" style="6" customWidth="1"/>
    <col min="2572" max="2572" width="3.85546875" style="6" customWidth="1"/>
    <col min="2573" max="2573" width="5.42578125" style="6" customWidth="1"/>
    <col min="2574" max="2574" width="2.42578125" style="6" customWidth="1"/>
    <col min="2575" max="2816" width="9.140625" style="6"/>
    <col min="2817" max="2817" width="6.7109375" style="6" customWidth="1"/>
    <col min="2818" max="2818" width="3.28515625" style="6" customWidth="1"/>
    <col min="2819" max="2819" width="3.7109375" style="6" customWidth="1"/>
    <col min="2820" max="2820" width="5.28515625" style="6" customWidth="1"/>
    <col min="2821" max="2821" width="3.140625" style="6" customWidth="1"/>
    <col min="2822" max="2822" width="4" style="6" customWidth="1"/>
    <col min="2823" max="2823" width="29.28515625" style="6" customWidth="1"/>
    <col min="2824" max="2824" width="11.28515625" style="6" customWidth="1"/>
    <col min="2825" max="2825" width="4" style="6" customWidth="1"/>
    <col min="2826" max="2826" width="7" style="6" customWidth="1"/>
    <col min="2827" max="2827" width="33.140625" style="6" customWidth="1"/>
    <col min="2828" max="2828" width="3.85546875" style="6" customWidth="1"/>
    <col min="2829" max="2829" width="5.42578125" style="6" customWidth="1"/>
    <col min="2830" max="2830" width="2.42578125" style="6" customWidth="1"/>
    <col min="2831" max="3072" width="9.140625" style="6"/>
    <col min="3073" max="3073" width="6.7109375" style="6" customWidth="1"/>
    <col min="3074" max="3074" width="3.28515625" style="6" customWidth="1"/>
    <col min="3075" max="3075" width="3.7109375" style="6" customWidth="1"/>
    <col min="3076" max="3076" width="5.28515625" style="6" customWidth="1"/>
    <col min="3077" max="3077" width="3.140625" style="6" customWidth="1"/>
    <col min="3078" max="3078" width="4" style="6" customWidth="1"/>
    <col min="3079" max="3079" width="29.28515625" style="6" customWidth="1"/>
    <col min="3080" max="3080" width="11.28515625" style="6" customWidth="1"/>
    <col min="3081" max="3081" width="4" style="6" customWidth="1"/>
    <col min="3082" max="3082" width="7" style="6" customWidth="1"/>
    <col min="3083" max="3083" width="33.140625" style="6" customWidth="1"/>
    <col min="3084" max="3084" width="3.85546875" style="6" customWidth="1"/>
    <col min="3085" max="3085" width="5.42578125" style="6" customWidth="1"/>
    <col min="3086" max="3086" width="2.42578125" style="6" customWidth="1"/>
    <col min="3087" max="3328" width="9.140625" style="6"/>
    <col min="3329" max="3329" width="6.7109375" style="6" customWidth="1"/>
    <col min="3330" max="3330" width="3.28515625" style="6" customWidth="1"/>
    <col min="3331" max="3331" width="3.7109375" style="6" customWidth="1"/>
    <col min="3332" max="3332" width="5.28515625" style="6" customWidth="1"/>
    <col min="3333" max="3333" width="3.140625" style="6" customWidth="1"/>
    <col min="3334" max="3334" width="4" style="6" customWidth="1"/>
    <col min="3335" max="3335" width="29.28515625" style="6" customWidth="1"/>
    <col min="3336" max="3336" width="11.28515625" style="6" customWidth="1"/>
    <col min="3337" max="3337" width="4" style="6" customWidth="1"/>
    <col min="3338" max="3338" width="7" style="6" customWidth="1"/>
    <col min="3339" max="3339" width="33.140625" style="6" customWidth="1"/>
    <col min="3340" max="3340" width="3.85546875" style="6" customWidth="1"/>
    <col min="3341" max="3341" width="5.42578125" style="6" customWidth="1"/>
    <col min="3342" max="3342" width="2.42578125" style="6" customWidth="1"/>
    <col min="3343" max="3584" width="9.140625" style="6"/>
    <col min="3585" max="3585" width="6.7109375" style="6" customWidth="1"/>
    <col min="3586" max="3586" width="3.28515625" style="6" customWidth="1"/>
    <col min="3587" max="3587" width="3.7109375" style="6" customWidth="1"/>
    <col min="3588" max="3588" width="5.28515625" style="6" customWidth="1"/>
    <col min="3589" max="3589" width="3.140625" style="6" customWidth="1"/>
    <col min="3590" max="3590" width="4" style="6" customWidth="1"/>
    <col min="3591" max="3591" width="29.28515625" style="6" customWidth="1"/>
    <col min="3592" max="3592" width="11.28515625" style="6" customWidth="1"/>
    <col min="3593" max="3593" width="4" style="6" customWidth="1"/>
    <col min="3594" max="3594" width="7" style="6" customWidth="1"/>
    <col min="3595" max="3595" width="33.140625" style="6" customWidth="1"/>
    <col min="3596" max="3596" width="3.85546875" style="6" customWidth="1"/>
    <col min="3597" max="3597" width="5.42578125" style="6" customWidth="1"/>
    <col min="3598" max="3598" width="2.42578125" style="6" customWidth="1"/>
    <col min="3599" max="3840" width="9.140625" style="6"/>
    <col min="3841" max="3841" width="6.7109375" style="6" customWidth="1"/>
    <col min="3842" max="3842" width="3.28515625" style="6" customWidth="1"/>
    <col min="3843" max="3843" width="3.7109375" style="6" customWidth="1"/>
    <col min="3844" max="3844" width="5.28515625" style="6" customWidth="1"/>
    <col min="3845" max="3845" width="3.140625" style="6" customWidth="1"/>
    <col min="3846" max="3846" width="4" style="6" customWidth="1"/>
    <col min="3847" max="3847" width="29.28515625" style="6" customWidth="1"/>
    <col min="3848" max="3848" width="11.28515625" style="6" customWidth="1"/>
    <col min="3849" max="3849" width="4" style="6" customWidth="1"/>
    <col min="3850" max="3850" width="7" style="6" customWidth="1"/>
    <col min="3851" max="3851" width="33.140625" style="6" customWidth="1"/>
    <col min="3852" max="3852" width="3.85546875" style="6" customWidth="1"/>
    <col min="3853" max="3853" width="5.42578125" style="6" customWidth="1"/>
    <col min="3854" max="3854" width="2.42578125" style="6" customWidth="1"/>
    <col min="3855" max="4096" width="9.140625" style="6"/>
    <col min="4097" max="4097" width="6.7109375" style="6" customWidth="1"/>
    <col min="4098" max="4098" width="3.28515625" style="6" customWidth="1"/>
    <col min="4099" max="4099" width="3.7109375" style="6" customWidth="1"/>
    <col min="4100" max="4100" width="5.28515625" style="6" customWidth="1"/>
    <col min="4101" max="4101" width="3.140625" style="6" customWidth="1"/>
    <col min="4102" max="4102" width="4" style="6" customWidth="1"/>
    <col min="4103" max="4103" width="29.28515625" style="6" customWidth="1"/>
    <col min="4104" max="4104" width="11.28515625" style="6" customWidth="1"/>
    <col min="4105" max="4105" width="4" style="6" customWidth="1"/>
    <col min="4106" max="4106" width="7" style="6" customWidth="1"/>
    <col min="4107" max="4107" width="33.140625" style="6" customWidth="1"/>
    <col min="4108" max="4108" width="3.85546875" style="6" customWidth="1"/>
    <col min="4109" max="4109" width="5.42578125" style="6" customWidth="1"/>
    <col min="4110" max="4110" width="2.42578125" style="6" customWidth="1"/>
    <col min="4111" max="4352" width="9.140625" style="6"/>
    <col min="4353" max="4353" width="6.7109375" style="6" customWidth="1"/>
    <col min="4354" max="4354" width="3.28515625" style="6" customWidth="1"/>
    <col min="4355" max="4355" width="3.7109375" style="6" customWidth="1"/>
    <col min="4356" max="4356" width="5.28515625" style="6" customWidth="1"/>
    <col min="4357" max="4357" width="3.140625" style="6" customWidth="1"/>
    <col min="4358" max="4358" width="4" style="6" customWidth="1"/>
    <col min="4359" max="4359" width="29.28515625" style="6" customWidth="1"/>
    <col min="4360" max="4360" width="11.28515625" style="6" customWidth="1"/>
    <col min="4361" max="4361" width="4" style="6" customWidth="1"/>
    <col min="4362" max="4362" width="7" style="6" customWidth="1"/>
    <col min="4363" max="4363" width="33.140625" style="6" customWidth="1"/>
    <col min="4364" max="4364" width="3.85546875" style="6" customWidth="1"/>
    <col min="4365" max="4365" width="5.42578125" style="6" customWidth="1"/>
    <col min="4366" max="4366" width="2.42578125" style="6" customWidth="1"/>
    <col min="4367" max="4608" width="9.140625" style="6"/>
    <col min="4609" max="4609" width="6.7109375" style="6" customWidth="1"/>
    <col min="4610" max="4610" width="3.28515625" style="6" customWidth="1"/>
    <col min="4611" max="4611" width="3.7109375" style="6" customWidth="1"/>
    <col min="4612" max="4612" width="5.28515625" style="6" customWidth="1"/>
    <col min="4613" max="4613" width="3.140625" style="6" customWidth="1"/>
    <col min="4614" max="4614" width="4" style="6" customWidth="1"/>
    <col min="4615" max="4615" width="29.28515625" style="6" customWidth="1"/>
    <col min="4616" max="4616" width="11.28515625" style="6" customWidth="1"/>
    <col min="4617" max="4617" width="4" style="6" customWidth="1"/>
    <col min="4618" max="4618" width="7" style="6" customWidth="1"/>
    <col min="4619" max="4619" width="33.140625" style="6" customWidth="1"/>
    <col min="4620" max="4620" width="3.85546875" style="6" customWidth="1"/>
    <col min="4621" max="4621" width="5.42578125" style="6" customWidth="1"/>
    <col min="4622" max="4622" width="2.42578125" style="6" customWidth="1"/>
    <col min="4623" max="4864" width="9.140625" style="6"/>
    <col min="4865" max="4865" width="6.7109375" style="6" customWidth="1"/>
    <col min="4866" max="4866" width="3.28515625" style="6" customWidth="1"/>
    <col min="4867" max="4867" width="3.7109375" style="6" customWidth="1"/>
    <col min="4868" max="4868" width="5.28515625" style="6" customWidth="1"/>
    <col min="4869" max="4869" width="3.140625" style="6" customWidth="1"/>
    <col min="4870" max="4870" width="4" style="6" customWidth="1"/>
    <col min="4871" max="4871" width="29.28515625" style="6" customWidth="1"/>
    <col min="4872" max="4872" width="11.28515625" style="6" customWidth="1"/>
    <col min="4873" max="4873" width="4" style="6" customWidth="1"/>
    <col min="4874" max="4874" width="7" style="6" customWidth="1"/>
    <col min="4875" max="4875" width="33.140625" style="6" customWidth="1"/>
    <col min="4876" max="4876" width="3.85546875" style="6" customWidth="1"/>
    <col min="4877" max="4877" width="5.42578125" style="6" customWidth="1"/>
    <col min="4878" max="4878" width="2.42578125" style="6" customWidth="1"/>
    <col min="4879" max="5120" width="9.140625" style="6"/>
    <col min="5121" max="5121" width="6.7109375" style="6" customWidth="1"/>
    <col min="5122" max="5122" width="3.28515625" style="6" customWidth="1"/>
    <col min="5123" max="5123" width="3.7109375" style="6" customWidth="1"/>
    <col min="5124" max="5124" width="5.28515625" style="6" customWidth="1"/>
    <col min="5125" max="5125" width="3.140625" style="6" customWidth="1"/>
    <col min="5126" max="5126" width="4" style="6" customWidth="1"/>
    <col min="5127" max="5127" width="29.28515625" style="6" customWidth="1"/>
    <col min="5128" max="5128" width="11.28515625" style="6" customWidth="1"/>
    <col min="5129" max="5129" width="4" style="6" customWidth="1"/>
    <col min="5130" max="5130" width="7" style="6" customWidth="1"/>
    <col min="5131" max="5131" width="33.140625" style="6" customWidth="1"/>
    <col min="5132" max="5132" width="3.85546875" style="6" customWidth="1"/>
    <col min="5133" max="5133" width="5.42578125" style="6" customWidth="1"/>
    <col min="5134" max="5134" width="2.42578125" style="6" customWidth="1"/>
    <col min="5135" max="5376" width="9.140625" style="6"/>
    <col min="5377" max="5377" width="6.7109375" style="6" customWidth="1"/>
    <col min="5378" max="5378" width="3.28515625" style="6" customWidth="1"/>
    <col min="5379" max="5379" width="3.7109375" style="6" customWidth="1"/>
    <col min="5380" max="5380" width="5.28515625" style="6" customWidth="1"/>
    <col min="5381" max="5381" width="3.140625" style="6" customWidth="1"/>
    <col min="5382" max="5382" width="4" style="6" customWidth="1"/>
    <col min="5383" max="5383" width="29.28515625" style="6" customWidth="1"/>
    <col min="5384" max="5384" width="11.28515625" style="6" customWidth="1"/>
    <col min="5385" max="5385" width="4" style="6" customWidth="1"/>
    <col min="5386" max="5386" width="7" style="6" customWidth="1"/>
    <col min="5387" max="5387" width="33.140625" style="6" customWidth="1"/>
    <col min="5388" max="5388" width="3.85546875" style="6" customWidth="1"/>
    <col min="5389" max="5389" width="5.42578125" style="6" customWidth="1"/>
    <col min="5390" max="5390" width="2.42578125" style="6" customWidth="1"/>
    <col min="5391" max="5632" width="9.140625" style="6"/>
    <col min="5633" max="5633" width="6.7109375" style="6" customWidth="1"/>
    <col min="5634" max="5634" width="3.28515625" style="6" customWidth="1"/>
    <col min="5635" max="5635" width="3.7109375" style="6" customWidth="1"/>
    <col min="5636" max="5636" width="5.28515625" style="6" customWidth="1"/>
    <col min="5637" max="5637" width="3.140625" style="6" customWidth="1"/>
    <col min="5638" max="5638" width="4" style="6" customWidth="1"/>
    <col min="5639" max="5639" width="29.28515625" style="6" customWidth="1"/>
    <col min="5640" max="5640" width="11.28515625" style="6" customWidth="1"/>
    <col min="5641" max="5641" width="4" style="6" customWidth="1"/>
    <col min="5642" max="5642" width="7" style="6" customWidth="1"/>
    <col min="5643" max="5643" width="33.140625" style="6" customWidth="1"/>
    <col min="5644" max="5644" width="3.85546875" style="6" customWidth="1"/>
    <col min="5645" max="5645" width="5.42578125" style="6" customWidth="1"/>
    <col min="5646" max="5646" width="2.42578125" style="6" customWidth="1"/>
    <col min="5647" max="5888" width="9.140625" style="6"/>
    <col min="5889" max="5889" width="6.7109375" style="6" customWidth="1"/>
    <col min="5890" max="5890" width="3.28515625" style="6" customWidth="1"/>
    <col min="5891" max="5891" width="3.7109375" style="6" customWidth="1"/>
    <col min="5892" max="5892" width="5.28515625" style="6" customWidth="1"/>
    <col min="5893" max="5893" width="3.140625" style="6" customWidth="1"/>
    <col min="5894" max="5894" width="4" style="6" customWidth="1"/>
    <col min="5895" max="5895" width="29.28515625" style="6" customWidth="1"/>
    <col min="5896" max="5896" width="11.28515625" style="6" customWidth="1"/>
    <col min="5897" max="5897" width="4" style="6" customWidth="1"/>
    <col min="5898" max="5898" width="7" style="6" customWidth="1"/>
    <col min="5899" max="5899" width="33.140625" style="6" customWidth="1"/>
    <col min="5900" max="5900" width="3.85546875" style="6" customWidth="1"/>
    <col min="5901" max="5901" width="5.42578125" style="6" customWidth="1"/>
    <col min="5902" max="5902" width="2.42578125" style="6" customWidth="1"/>
    <col min="5903" max="6144" width="9.140625" style="6"/>
    <col min="6145" max="6145" width="6.7109375" style="6" customWidth="1"/>
    <col min="6146" max="6146" width="3.28515625" style="6" customWidth="1"/>
    <col min="6147" max="6147" width="3.7109375" style="6" customWidth="1"/>
    <col min="6148" max="6148" width="5.28515625" style="6" customWidth="1"/>
    <col min="6149" max="6149" width="3.140625" style="6" customWidth="1"/>
    <col min="6150" max="6150" width="4" style="6" customWidth="1"/>
    <col min="6151" max="6151" width="29.28515625" style="6" customWidth="1"/>
    <col min="6152" max="6152" width="11.28515625" style="6" customWidth="1"/>
    <col min="6153" max="6153" width="4" style="6" customWidth="1"/>
    <col min="6154" max="6154" width="7" style="6" customWidth="1"/>
    <col min="6155" max="6155" width="33.140625" style="6" customWidth="1"/>
    <col min="6156" max="6156" width="3.85546875" style="6" customWidth="1"/>
    <col min="6157" max="6157" width="5.42578125" style="6" customWidth="1"/>
    <col min="6158" max="6158" width="2.42578125" style="6" customWidth="1"/>
    <col min="6159" max="6400" width="9.140625" style="6"/>
    <col min="6401" max="6401" width="6.7109375" style="6" customWidth="1"/>
    <col min="6402" max="6402" width="3.28515625" style="6" customWidth="1"/>
    <col min="6403" max="6403" width="3.7109375" style="6" customWidth="1"/>
    <col min="6404" max="6404" width="5.28515625" style="6" customWidth="1"/>
    <col min="6405" max="6405" width="3.140625" style="6" customWidth="1"/>
    <col min="6406" max="6406" width="4" style="6" customWidth="1"/>
    <col min="6407" max="6407" width="29.28515625" style="6" customWidth="1"/>
    <col min="6408" max="6408" width="11.28515625" style="6" customWidth="1"/>
    <col min="6409" max="6409" width="4" style="6" customWidth="1"/>
    <col min="6410" max="6410" width="7" style="6" customWidth="1"/>
    <col min="6411" max="6411" width="33.140625" style="6" customWidth="1"/>
    <col min="6412" max="6412" width="3.85546875" style="6" customWidth="1"/>
    <col min="6413" max="6413" width="5.42578125" style="6" customWidth="1"/>
    <col min="6414" max="6414" width="2.42578125" style="6" customWidth="1"/>
    <col min="6415" max="6656" width="9.140625" style="6"/>
    <col min="6657" max="6657" width="6.7109375" style="6" customWidth="1"/>
    <col min="6658" max="6658" width="3.28515625" style="6" customWidth="1"/>
    <col min="6659" max="6659" width="3.7109375" style="6" customWidth="1"/>
    <col min="6660" max="6660" width="5.28515625" style="6" customWidth="1"/>
    <col min="6661" max="6661" width="3.140625" style="6" customWidth="1"/>
    <col min="6662" max="6662" width="4" style="6" customWidth="1"/>
    <col min="6663" max="6663" width="29.28515625" style="6" customWidth="1"/>
    <col min="6664" max="6664" width="11.28515625" style="6" customWidth="1"/>
    <col min="6665" max="6665" width="4" style="6" customWidth="1"/>
    <col min="6666" max="6666" width="7" style="6" customWidth="1"/>
    <col min="6667" max="6667" width="33.140625" style="6" customWidth="1"/>
    <col min="6668" max="6668" width="3.85546875" style="6" customWidth="1"/>
    <col min="6669" max="6669" width="5.42578125" style="6" customWidth="1"/>
    <col min="6670" max="6670" width="2.42578125" style="6" customWidth="1"/>
    <col min="6671" max="6912" width="9.140625" style="6"/>
    <col min="6913" max="6913" width="6.7109375" style="6" customWidth="1"/>
    <col min="6914" max="6914" width="3.28515625" style="6" customWidth="1"/>
    <col min="6915" max="6915" width="3.7109375" style="6" customWidth="1"/>
    <col min="6916" max="6916" width="5.28515625" style="6" customWidth="1"/>
    <col min="6917" max="6917" width="3.140625" style="6" customWidth="1"/>
    <col min="6918" max="6918" width="4" style="6" customWidth="1"/>
    <col min="6919" max="6919" width="29.28515625" style="6" customWidth="1"/>
    <col min="6920" max="6920" width="11.28515625" style="6" customWidth="1"/>
    <col min="6921" max="6921" width="4" style="6" customWidth="1"/>
    <col min="6922" max="6922" width="7" style="6" customWidth="1"/>
    <col min="6923" max="6923" width="33.140625" style="6" customWidth="1"/>
    <col min="6924" max="6924" width="3.85546875" style="6" customWidth="1"/>
    <col min="6925" max="6925" width="5.42578125" style="6" customWidth="1"/>
    <col min="6926" max="6926" width="2.42578125" style="6" customWidth="1"/>
    <col min="6927" max="7168" width="9.140625" style="6"/>
    <col min="7169" max="7169" width="6.7109375" style="6" customWidth="1"/>
    <col min="7170" max="7170" width="3.28515625" style="6" customWidth="1"/>
    <col min="7171" max="7171" width="3.7109375" style="6" customWidth="1"/>
    <col min="7172" max="7172" width="5.28515625" style="6" customWidth="1"/>
    <col min="7173" max="7173" width="3.140625" style="6" customWidth="1"/>
    <col min="7174" max="7174" width="4" style="6" customWidth="1"/>
    <col min="7175" max="7175" width="29.28515625" style="6" customWidth="1"/>
    <col min="7176" max="7176" width="11.28515625" style="6" customWidth="1"/>
    <col min="7177" max="7177" width="4" style="6" customWidth="1"/>
    <col min="7178" max="7178" width="7" style="6" customWidth="1"/>
    <col min="7179" max="7179" width="33.140625" style="6" customWidth="1"/>
    <col min="7180" max="7180" width="3.85546875" style="6" customWidth="1"/>
    <col min="7181" max="7181" width="5.42578125" style="6" customWidth="1"/>
    <col min="7182" max="7182" width="2.42578125" style="6" customWidth="1"/>
    <col min="7183" max="7424" width="9.140625" style="6"/>
    <col min="7425" max="7425" width="6.7109375" style="6" customWidth="1"/>
    <col min="7426" max="7426" width="3.28515625" style="6" customWidth="1"/>
    <col min="7427" max="7427" width="3.7109375" style="6" customWidth="1"/>
    <col min="7428" max="7428" width="5.28515625" style="6" customWidth="1"/>
    <col min="7429" max="7429" width="3.140625" style="6" customWidth="1"/>
    <col min="7430" max="7430" width="4" style="6" customWidth="1"/>
    <col min="7431" max="7431" width="29.28515625" style="6" customWidth="1"/>
    <col min="7432" max="7432" width="11.28515625" style="6" customWidth="1"/>
    <col min="7433" max="7433" width="4" style="6" customWidth="1"/>
    <col min="7434" max="7434" width="7" style="6" customWidth="1"/>
    <col min="7435" max="7435" width="33.140625" style="6" customWidth="1"/>
    <col min="7436" max="7436" width="3.85546875" style="6" customWidth="1"/>
    <col min="7437" max="7437" width="5.42578125" style="6" customWidth="1"/>
    <col min="7438" max="7438" width="2.42578125" style="6" customWidth="1"/>
    <col min="7439" max="7680" width="9.140625" style="6"/>
    <col min="7681" max="7681" width="6.7109375" style="6" customWidth="1"/>
    <col min="7682" max="7682" width="3.28515625" style="6" customWidth="1"/>
    <col min="7683" max="7683" width="3.7109375" style="6" customWidth="1"/>
    <col min="7684" max="7684" width="5.28515625" style="6" customWidth="1"/>
    <col min="7685" max="7685" width="3.140625" style="6" customWidth="1"/>
    <col min="7686" max="7686" width="4" style="6" customWidth="1"/>
    <col min="7687" max="7687" width="29.28515625" style="6" customWidth="1"/>
    <col min="7688" max="7688" width="11.28515625" style="6" customWidth="1"/>
    <col min="7689" max="7689" width="4" style="6" customWidth="1"/>
    <col min="7690" max="7690" width="7" style="6" customWidth="1"/>
    <col min="7691" max="7691" width="33.140625" style="6" customWidth="1"/>
    <col min="7692" max="7692" width="3.85546875" style="6" customWidth="1"/>
    <col min="7693" max="7693" width="5.42578125" style="6" customWidth="1"/>
    <col min="7694" max="7694" width="2.42578125" style="6" customWidth="1"/>
    <col min="7695" max="7936" width="9.140625" style="6"/>
    <col min="7937" max="7937" width="6.7109375" style="6" customWidth="1"/>
    <col min="7938" max="7938" width="3.28515625" style="6" customWidth="1"/>
    <col min="7939" max="7939" width="3.7109375" style="6" customWidth="1"/>
    <col min="7940" max="7940" width="5.28515625" style="6" customWidth="1"/>
    <col min="7941" max="7941" width="3.140625" style="6" customWidth="1"/>
    <col min="7942" max="7942" width="4" style="6" customWidth="1"/>
    <col min="7943" max="7943" width="29.28515625" style="6" customWidth="1"/>
    <col min="7944" max="7944" width="11.28515625" style="6" customWidth="1"/>
    <col min="7945" max="7945" width="4" style="6" customWidth="1"/>
    <col min="7946" max="7946" width="7" style="6" customWidth="1"/>
    <col min="7947" max="7947" width="33.140625" style="6" customWidth="1"/>
    <col min="7948" max="7948" width="3.85546875" style="6" customWidth="1"/>
    <col min="7949" max="7949" width="5.42578125" style="6" customWidth="1"/>
    <col min="7950" max="7950" width="2.42578125" style="6" customWidth="1"/>
    <col min="7951" max="8192" width="9.140625" style="6"/>
    <col min="8193" max="8193" width="6.7109375" style="6" customWidth="1"/>
    <col min="8194" max="8194" width="3.28515625" style="6" customWidth="1"/>
    <col min="8195" max="8195" width="3.7109375" style="6" customWidth="1"/>
    <col min="8196" max="8196" width="5.28515625" style="6" customWidth="1"/>
    <col min="8197" max="8197" width="3.140625" style="6" customWidth="1"/>
    <col min="8198" max="8198" width="4" style="6" customWidth="1"/>
    <col min="8199" max="8199" width="29.28515625" style="6" customWidth="1"/>
    <col min="8200" max="8200" width="11.28515625" style="6" customWidth="1"/>
    <col min="8201" max="8201" width="4" style="6" customWidth="1"/>
    <col min="8202" max="8202" width="7" style="6" customWidth="1"/>
    <col min="8203" max="8203" width="33.140625" style="6" customWidth="1"/>
    <col min="8204" max="8204" width="3.85546875" style="6" customWidth="1"/>
    <col min="8205" max="8205" width="5.42578125" style="6" customWidth="1"/>
    <col min="8206" max="8206" width="2.42578125" style="6" customWidth="1"/>
    <col min="8207" max="8448" width="9.140625" style="6"/>
    <col min="8449" max="8449" width="6.7109375" style="6" customWidth="1"/>
    <col min="8450" max="8450" width="3.28515625" style="6" customWidth="1"/>
    <col min="8451" max="8451" width="3.7109375" style="6" customWidth="1"/>
    <col min="8452" max="8452" width="5.28515625" style="6" customWidth="1"/>
    <col min="8453" max="8453" width="3.140625" style="6" customWidth="1"/>
    <col min="8454" max="8454" width="4" style="6" customWidth="1"/>
    <col min="8455" max="8455" width="29.28515625" style="6" customWidth="1"/>
    <col min="8456" max="8456" width="11.28515625" style="6" customWidth="1"/>
    <col min="8457" max="8457" width="4" style="6" customWidth="1"/>
    <col min="8458" max="8458" width="7" style="6" customWidth="1"/>
    <col min="8459" max="8459" width="33.140625" style="6" customWidth="1"/>
    <col min="8460" max="8460" width="3.85546875" style="6" customWidth="1"/>
    <col min="8461" max="8461" width="5.42578125" style="6" customWidth="1"/>
    <col min="8462" max="8462" width="2.42578125" style="6" customWidth="1"/>
    <col min="8463" max="8704" width="9.140625" style="6"/>
    <col min="8705" max="8705" width="6.7109375" style="6" customWidth="1"/>
    <col min="8706" max="8706" width="3.28515625" style="6" customWidth="1"/>
    <col min="8707" max="8707" width="3.7109375" style="6" customWidth="1"/>
    <col min="8708" max="8708" width="5.28515625" style="6" customWidth="1"/>
    <col min="8709" max="8709" width="3.140625" style="6" customWidth="1"/>
    <col min="8710" max="8710" width="4" style="6" customWidth="1"/>
    <col min="8711" max="8711" width="29.28515625" style="6" customWidth="1"/>
    <col min="8712" max="8712" width="11.28515625" style="6" customWidth="1"/>
    <col min="8713" max="8713" width="4" style="6" customWidth="1"/>
    <col min="8714" max="8714" width="7" style="6" customWidth="1"/>
    <col min="8715" max="8715" width="33.140625" style="6" customWidth="1"/>
    <col min="8716" max="8716" width="3.85546875" style="6" customWidth="1"/>
    <col min="8717" max="8717" width="5.42578125" style="6" customWidth="1"/>
    <col min="8718" max="8718" width="2.42578125" style="6" customWidth="1"/>
    <col min="8719" max="8960" width="9.140625" style="6"/>
    <col min="8961" max="8961" width="6.7109375" style="6" customWidth="1"/>
    <col min="8962" max="8962" width="3.28515625" style="6" customWidth="1"/>
    <col min="8963" max="8963" width="3.7109375" style="6" customWidth="1"/>
    <col min="8964" max="8964" width="5.28515625" style="6" customWidth="1"/>
    <col min="8965" max="8965" width="3.140625" style="6" customWidth="1"/>
    <col min="8966" max="8966" width="4" style="6" customWidth="1"/>
    <col min="8967" max="8967" width="29.28515625" style="6" customWidth="1"/>
    <col min="8968" max="8968" width="11.28515625" style="6" customWidth="1"/>
    <col min="8969" max="8969" width="4" style="6" customWidth="1"/>
    <col min="8970" max="8970" width="7" style="6" customWidth="1"/>
    <col min="8971" max="8971" width="33.140625" style="6" customWidth="1"/>
    <col min="8972" max="8972" width="3.85546875" style="6" customWidth="1"/>
    <col min="8973" max="8973" width="5.42578125" style="6" customWidth="1"/>
    <col min="8974" max="8974" width="2.42578125" style="6" customWidth="1"/>
    <col min="8975" max="9216" width="9.140625" style="6"/>
    <col min="9217" max="9217" width="6.7109375" style="6" customWidth="1"/>
    <col min="9218" max="9218" width="3.28515625" style="6" customWidth="1"/>
    <col min="9219" max="9219" width="3.7109375" style="6" customWidth="1"/>
    <col min="9220" max="9220" width="5.28515625" style="6" customWidth="1"/>
    <col min="9221" max="9221" width="3.140625" style="6" customWidth="1"/>
    <col min="9222" max="9222" width="4" style="6" customWidth="1"/>
    <col min="9223" max="9223" width="29.28515625" style="6" customWidth="1"/>
    <col min="9224" max="9224" width="11.28515625" style="6" customWidth="1"/>
    <col min="9225" max="9225" width="4" style="6" customWidth="1"/>
    <col min="9226" max="9226" width="7" style="6" customWidth="1"/>
    <col min="9227" max="9227" width="33.140625" style="6" customWidth="1"/>
    <col min="9228" max="9228" width="3.85546875" style="6" customWidth="1"/>
    <col min="9229" max="9229" width="5.42578125" style="6" customWidth="1"/>
    <col min="9230" max="9230" width="2.42578125" style="6" customWidth="1"/>
    <col min="9231" max="9472" width="9.140625" style="6"/>
    <col min="9473" max="9473" width="6.7109375" style="6" customWidth="1"/>
    <col min="9474" max="9474" width="3.28515625" style="6" customWidth="1"/>
    <col min="9475" max="9475" width="3.7109375" style="6" customWidth="1"/>
    <col min="9476" max="9476" width="5.28515625" style="6" customWidth="1"/>
    <col min="9477" max="9477" width="3.140625" style="6" customWidth="1"/>
    <col min="9478" max="9478" width="4" style="6" customWidth="1"/>
    <col min="9479" max="9479" width="29.28515625" style="6" customWidth="1"/>
    <col min="9480" max="9480" width="11.28515625" style="6" customWidth="1"/>
    <col min="9481" max="9481" width="4" style="6" customWidth="1"/>
    <col min="9482" max="9482" width="7" style="6" customWidth="1"/>
    <col min="9483" max="9483" width="33.140625" style="6" customWidth="1"/>
    <col min="9484" max="9484" width="3.85546875" style="6" customWidth="1"/>
    <col min="9485" max="9485" width="5.42578125" style="6" customWidth="1"/>
    <col min="9486" max="9486" width="2.42578125" style="6" customWidth="1"/>
    <col min="9487" max="9728" width="9.140625" style="6"/>
    <col min="9729" max="9729" width="6.7109375" style="6" customWidth="1"/>
    <col min="9730" max="9730" width="3.28515625" style="6" customWidth="1"/>
    <col min="9731" max="9731" width="3.7109375" style="6" customWidth="1"/>
    <col min="9732" max="9732" width="5.28515625" style="6" customWidth="1"/>
    <col min="9733" max="9733" width="3.140625" style="6" customWidth="1"/>
    <col min="9734" max="9734" width="4" style="6" customWidth="1"/>
    <col min="9735" max="9735" width="29.28515625" style="6" customWidth="1"/>
    <col min="9736" max="9736" width="11.28515625" style="6" customWidth="1"/>
    <col min="9737" max="9737" width="4" style="6" customWidth="1"/>
    <col min="9738" max="9738" width="7" style="6" customWidth="1"/>
    <col min="9739" max="9739" width="33.140625" style="6" customWidth="1"/>
    <col min="9740" max="9740" width="3.85546875" style="6" customWidth="1"/>
    <col min="9741" max="9741" width="5.42578125" style="6" customWidth="1"/>
    <col min="9742" max="9742" width="2.42578125" style="6" customWidth="1"/>
    <col min="9743" max="9984" width="9.140625" style="6"/>
    <col min="9985" max="9985" width="6.7109375" style="6" customWidth="1"/>
    <col min="9986" max="9986" width="3.28515625" style="6" customWidth="1"/>
    <col min="9987" max="9987" width="3.7109375" style="6" customWidth="1"/>
    <col min="9988" max="9988" width="5.28515625" style="6" customWidth="1"/>
    <col min="9989" max="9989" width="3.140625" style="6" customWidth="1"/>
    <col min="9990" max="9990" width="4" style="6" customWidth="1"/>
    <col min="9991" max="9991" width="29.28515625" style="6" customWidth="1"/>
    <col min="9992" max="9992" width="11.28515625" style="6" customWidth="1"/>
    <col min="9993" max="9993" width="4" style="6" customWidth="1"/>
    <col min="9994" max="9994" width="7" style="6" customWidth="1"/>
    <col min="9995" max="9995" width="33.140625" style="6" customWidth="1"/>
    <col min="9996" max="9996" width="3.85546875" style="6" customWidth="1"/>
    <col min="9997" max="9997" width="5.42578125" style="6" customWidth="1"/>
    <col min="9998" max="9998" width="2.42578125" style="6" customWidth="1"/>
    <col min="9999" max="10240" width="9.140625" style="6"/>
    <col min="10241" max="10241" width="6.7109375" style="6" customWidth="1"/>
    <col min="10242" max="10242" width="3.28515625" style="6" customWidth="1"/>
    <col min="10243" max="10243" width="3.7109375" style="6" customWidth="1"/>
    <col min="10244" max="10244" width="5.28515625" style="6" customWidth="1"/>
    <col min="10245" max="10245" width="3.140625" style="6" customWidth="1"/>
    <col min="10246" max="10246" width="4" style="6" customWidth="1"/>
    <col min="10247" max="10247" width="29.28515625" style="6" customWidth="1"/>
    <col min="10248" max="10248" width="11.28515625" style="6" customWidth="1"/>
    <col min="10249" max="10249" width="4" style="6" customWidth="1"/>
    <col min="10250" max="10250" width="7" style="6" customWidth="1"/>
    <col min="10251" max="10251" width="33.140625" style="6" customWidth="1"/>
    <col min="10252" max="10252" width="3.85546875" style="6" customWidth="1"/>
    <col min="10253" max="10253" width="5.42578125" style="6" customWidth="1"/>
    <col min="10254" max="10254" width="2.42578125" style="6" customWidth="1"/>
    <col min="10255" max="10496" width="9.140625" style="6"/>
    <col min="10497" max="10497" width="6.7109375" style="6" customWidth="1"/>
    <col min="10498" max="10498" width="3.28515625" style="6" customWidth="1"/>
    <col min="10499" max="10499" width="3.7109375" style="6" customWidth="1"/>
    <col min="10500" max="10500" width="5.28515625" style="6" customWidth="1"/>
    <col min="10501" max="10501" width="3.140625" style="6" customWidth="1"/>
    <col min="10502" max="10502" width="4" style="6" customWidth="1"/>
    <col min="10503" max="10503" width="29.28515625" style="6" customWidth="1"/>
    <col min="10504" max="10504" width="11.28515625" style="6" customWidth="1"/>
    <col min="10505" max="10505" width="4" style="6" customWidth="1"/>
    <col min="10506" max="10506" width="7" style="6" customWidth="1"/>
    <col min="10507" max="10507" width="33.140625" style="6" customWidth="1"/>
    <col min="10508" max="10508" width="3.85546875" style="6" customWidth="1"/>
    <col min="10509" max="10509" width="5.42578125" style="6" customWidth="1"/>
    <col min="10510" max="10510" width="2.42578125" style="6" customWidth="1"/>
    <col min="10511" max="10752" width="9.140625" style="6"/>
    <col min="10753" max="10753" width="6.7109375" style="6" customWidth="1"/>
    <col min="10754" max="10754" width="3.28515625" style="6" customWidth="1"/>
    <col min="10755" max="10755" width="3.7109375" style="6" customWidth="1"/>
    <col min="10756" max="10756" width="5.28515625" style="6" customWidth="1"/>
    <col min="10757" max="10757" width="3.140625" style="6" customWidth="1"/>
    <col min="10758" max="10758" width="4" style="6" customWidth="1"/>
    <col min="10759" max="10759" width="29.28515625" style="6" customWidth="1"/>
    <col min="10760" max="10760" width="11.28515625" style="6" customWidth="1"/>
    <col min="10761" max="10761" width="4" style="6" customWidth="1"/>
    <col min="10762" max="10762" width="7" style="6" customWidth="1"/>
    <col min="10763" max="10763" width="33.140625" style="6" customWidth="1"/>
    <col min="10764" max="10764" width="3.85546875" style="6" customWidth="1"/>
    <col min="10765" max="10765" width="5.42578125" style="6" customWidth="1"/>
    <col min="10766" max="10766" width="2.42578125" style="6" customWidth="1"/>
    <col min="10767" max="11008" width="9.140625" style="6"/>
    <col min="11009" max="11009" width="6.7109375" style="6" customWidth="1"/>
    <col min="11010" max="11010" width="3.28515625" style="6" customWidth="1"/>
    <col min="11011" max="11011" width="3.7109375" style="6" customWidth="1"/>
    <col min="11012" max="11012" width="5.28515625" style="6" customWidth="1"/>
    <col min="11013" max="11013" width="3.140625" style="6" customWidth="1"/>
    <col min="11014" max="11014" width="4" style="6" customWidth="1"/>
    <col min="11015" max="11015" width="29.28515625" style="6" customWidth="1"/>
    <col min="11016" max="11016" width="11.28515625" style="6" customWidth="1"/>
    <col min="11017" max="11017" width="4" style="6" customWidth="1"/>
    <col min="11018" max="11018" width="7" style="6" customWidth="1"/>
    <col min="11019" max="11019" width="33.140625" style="6" customWidth="1"/>
    <col min="11020" max="11020" width="3.85546875" style="6" customWidth="1"/>
    <col min="11021" max="11021" width="5.42578125" style="6" customWidth="1"/>
    <col min="11022" max="11022" width="2.42578125" style="6" customWidth="1"/>
    <col min="11023" max="11264" width="9.140625" style="6"/>
    <col min="11265" max="11265" width="6.7109375" style="6" customWidth="1"/>
    <col min="11266" max="11266" width="3.28515625" style="6" customWidth="1"/>
    <col min="11267" max="11267" width="3.7109375" style="6" customWidth="1"/>
    <col min="11268" max="11268" width="5.28515625" style="6" customWidth="1"/>
    <col min="11269" max="11269" width="3.140625" style="6" customWidth="1"/>
    <col min="11270" max="11270" width="4" style="6" customWidth="1"/>
    <col min="11271" max="11271" width="29.28515625" style="6" customWidth="1"/>
    <col min="11272" max="11272" width="11.28515625" style="6" customWidth="1"/>
    <col min="11273" max="11273" width="4" style="6" customWidth="1"/>
    <col min="11274" max="11274" width="7" style="6" customWidth="1"/>
    <col min="11275" max="11275" width="33.140625" style="6" customWidth="1"/>
    <col min="11276" max="11276" width="3.85546875" style="6" customWidth="1"/>
    <col min="11277" max="11277" width="5.42578125" style="6" customWidth="1"/>
    <col min="11278" max="11278" width="2.42578125" style="6" customWidth="1"/>
    <col min="11279" max="11520" width="9.140625" style="6"/>
    <col min="11521" max="11521" width="6.7109375" style="6" customWidth="1"/>
    <col min="11522" max="11522" width="3.28515625" style="6" customWidth="1"/>
    <col min="11523" max="11523" width="3.7109375" style="6" customWidth="1"/>
    <col min="11524" max="11524" width="5.28515625" style="6" customWidth="1"/>
    <col min="11525" max="11525" width="3.140625" style="6" customWidth="1"/>
    <col min="11526" max="11526" width="4" style="6" customWidth="1"/>
    <col min="11527" max="11527" width="29.28515625" style="6" customWidth="1"/>
    <col min="11528" max="11528" width="11.28515625" style="6" customWidth="1"/>
    <col min="11529" max="11529" width="4" style="6" customWidth="1"/>
    <col min="11530" max="11530" width="7" style="6" customWidth="1"/>
    <col min="11531" max="11531" width="33.140625" style="6" customWidth="1"/>
    <col min="11532" max="11532" width="3.85546875" style="6" customWidth="1"/>
    <col min="11533" max="11533" width="5.42578125" style="6" customWidth="1"/>
    <col min="11534" max="11534" width="2.42578125" style="6" customWidth="1"/>
    <col min="11535" max="11776" width="9.140625" style="6"/>
    <col min="11777" max="11777" width="6.7109375" style="6" customWidth="1"/>
    <col min="11778" max="11778" width="3.28515625" style="6" customWidth="1"/>
    <col min="11779" max="11779" width="3.7109375" style="6" customWidth="1"/>
    <col min="11780" max="11780" width="5.28515625" style="6" customWidth="1"/>
    <col min="11781" max="11781" width="3.140625" style="6" customWidth="1"/>
    <col min="11782" max="11782" width="4" style="6" customWidth="1"/>
    <col min="11783" max="11783" width="29.28515625" style="6" customWidth="1"/>
    <col min="11784" max="11784" width="11.28515625" style="6" customWidth="1"/>
    <col min="11785" max="11785" width="4" style="6" customWidth="1"/>
    <col min="11786" max="11786" width="7" style="6" customWidth="1"/>
    <col min="11787" max="11787" width="33.140625" style="6" customWidth="1"/>
    <col min="11788" max="11788" width="3.85546875" style="6" customWidth="1"/>
    <col min="11789" max="11789" width="5.42578125" style="6" customWidth="1"/>
    <col min="11790" max="11790" width="2.42578125" style="6" customWidth="1"/>
    <col min="11791" max="12032" width="9.140625" style="6"/>
    <col min="12033" max="12033" width="6.7109375" style="6" customWidth="1"/>
    <col min="12034" max="12034" width="3.28515625" style="6" customWidth="1"/>
    <col min="12035" max="12035" width="3.7109375" style="6" customWidth="1"/>
    <col min="12036" max="12036" width="5.28515625" style="6" customWidth="1"/>
    <col min="12037" max="12037" width="3.140625" style="6" customWidth="1"/>
    <col min="12038" max="12038" width="4" style="6" customWidth="1"/>
    <col min="12039" max="12039" width="29.28515625" style="6" customWidth="1"/>
    <col min="12040" max="12040" width="11.28515625" style="6" customWidth="1"/>
    <col min="12041" max="12041" width="4" style="6" customWidth="1"/>
    <col min="12042" max="12042" width="7" style="6" customWidth="1"/>
    <col min="12043" max="12043" width="33.140625" style="6" customWidth="1"/>
    <col min="12044" max="12044" width="3.85546875" style="6" customWidth="1"/>
    <col min="12045" max="12045" width="5.42578125" style="6" customWidth="1"/>
    <col min="12046" max="12046" width="2.42578125" style="6" customWidth="1"/>
    <col min="12047" max="12288" width="9.140625" style="6"/>
    <col min="12289" max="12289" width="6.7109375" style="6" customWidth="1"/>
    <col min="12290" max="12290" width="3.28515625" style="6" customWidth="1"/>
    <col min="12291" max="12291" width="3.7109375" style="6" customWidth="1"/>
    <col min="12292" max="12292" width="5.28515625" style="6" customWidth="1"/>
    <col min="12293" max="12293" width="3.140625" style="6" customWidth="1"/>
    <col min="12294" max="12294" width="4" style="6" customWidth="1"/>
    <col min="12295" max="12295" width="29.28515625" style="6" customWidth="1"/>
    <col min="12296" max="12296" width="11.28515625" style="6" customWidth="1"/>
    <col min="12297" max="12297" width="4" style="6" customWidth="1"/>
    <col min="12298" max="12298" width="7" style="6" customWidth="1"/>
    <col min="12299" max="12299" width="33.140625" style="6" customWidth="1"/>
    <col min="12300" max="12300" width="3.85546875" style="6" customWidth="1"/>
    <col min="12301" max="12301" width="5.42578125" style="6" customWidth="1"/>
    <col min="12302" max="12302" width="2.42578125" style="6" customWidth="1"/>
    <col min="12303" max="12544" width="9.140625" style="6"/>
    <col min="12545" max="12545" width="6.7109375" style="6" customWidth="1"/>
    <col min="12546" max="12546" width="3.28515625" style="6" customWidth="1"/>
    <col min="12547" max="12547" width="3.7109375" style="6" customWidth="1"/>
    <col min="12548" max="12548" width="5.28515625" style="6" customWidth="1"/>
    <col min="12549" max="12549" width="3.140625" style="6" customWidth="1"/>
    <col min="12550" max="12550" width="4" style="6" customWidth="1"/>
    <col min="12551" max="12551" width="29.28515625" style="6" customWidth="1"/>
    <col min="12552" max="12552" width="11.28515625" style="6" customWidth="1"/>
    <col min="12553" max="12553" width="4" style="6" customWidth="1"/>
    <col min="12554" max="12554" width="7" style="6" customWidth="1"/>
    <col min="12555" max="12555" width="33.140625" style="6" customWidth="1"/>
    <col min="12556" max="12556" width="3.85546875" style="6" customWidth="1"/>
    <col min="12557" max="12557" width="5.42578125" style="6" customWidth="1"/>
    <col min="12558" max="12558" width="2.42578125" style="6" customWidth="1"/>
    <col min="12559" max="12800" width="9.140625" style="6"/>
    <col min="12801" max="12801" width="6.7109375" style="6" customWidth="1"/>
    <col min="12802" max="12802" width="3.28515625" style="6" customWidth="1"/>
    <col min="12803" max="12803" width="3.7109375" style="6" customWidth="1"/>
    <col min="12804" max="12804" width="5.28515625" style="6" customWidth="1"/>
    <col min="12805" max="12805" width="3.140625" style="6" customWidth="1"/>
    <col min="12806" max="12806" width="4" style="6" customWidth="1"/>
    <col min="12807" max="12807" width="29.28515625" style="6" customWidth="1"/>
    <col min="12808" max="12808" width="11.28515625" style="6" customWidth="1"/>
    <col min="12809" max="12809" width="4" style="6" customWidth="1"/>
    <col min="12810" max="12810" width="7" style="6" customWidth="1"/>
    <col min="12811" max="12811" width="33.140625" style="6" customWidth="1"/>
    <col min="12812" max="12812" width="3.85546875" style="6" customWidth="1"/>
    <col min="12813" max="12813" width="5.42578125" style="6" customWidth="1"/>
    <col min="12814" max="12814" width="2.42578125" style="6" customWidth="1"/>
    <col min="12815" max="13056" width="9.140625" style="6"/>
    <col min="13057" max="13057" width="6.7109375" style="6" customWidth="1"/>
    <col min="13058" max="13058" width="3.28515625" style="6" customWidth="1"/>
    <col min="13059" max="13059" width="3.7109375" style="6" customWidth="1"/>
    <col min="13060" max="13060" width="5.28515625" style="6" customWidth="1"/>
    <col min="13061" max="13061" width="3.140625" style="6" customWidth="1"/>
    <col min="13062" max="13062" width="4" style="6" customWidth="1"/>
    <col min="13063" max="13063" width="29.28515625" style="6" customWidth="1"/>
    <col min="13064" max="13064" width="11.28515625" style="6" customWidth="1"/>
    <col min="13065" max="13065" width="4" style="6" customWidth="1"/>
    <col min="13066" max="13066" width="7" style="6" customWidth="1"/>
    <col min="13067" max="13067" width="33.140625" style="6" customWidth="1"/>
    <col min="13068" max="13068" width="3.85546875" style="6" customWidth="1"/>
    <col min="13069" max="13069" width="5.42578125" style="6" customWidth="1"/>
    <col min="13070" max="13070" width="2.42578125" style="6" customWidth="1"/>
    <col min="13071" max="13312" width="9.140625" style="6"/>
    <col min="13313" max="13313" width="6.7109375" style="6" customWidth="1"/>
    <col min="13314" max="13314" width="3.28515625" style="6" customWidth="1"/>
    <col min="13315" max="13315" width="3.7109375" style="6" customWidth="1"/>
    <col min="13316" max="13316" width="5.28515625" style="6" customWidth="1"/>
    <col min="13317" max="13317" width="3.140625" style="6" customWidth="1"/>
    <col min="13318" max="13318" width="4" style="6" customWidth="1"/>
    <col min="13319" max="13319" width="29.28515625" style="6" customWidth="1"/>
    <col min="13320" max="13320" width="11.28515625" style="6" customWidth="1"/>
    <col min="13321" max="13321" width="4" style="6" customWidth="1"/>
    <col min="13322" max="13322" width="7" style="6" customWidth="1"/>
    <col min="13323" max="13323" width="33.140625" style="6" customWidth="1"/>
    <col min="13324" max="13324" width="3.85546875" style="6" customWidth="1"/>
    <col min="13325" max="13325" width="5.42578125" style="6" customWidth="1"/>
    <col min="13326" max="13326" width="2.42578125" style="6" customWidth="1"/>
    <col min="13327" max="13568" width="9.140625" style="6"/>
    <col min="13569" max="13569" width="6.7109375" style="6" customWidth="1"/>
    <col min="13570" max="13570" width="3.28515625" style="6" customWidth="1"/>
    <col min="13571" max="13571" width="3.7109375" style="6" customWidth="1"/>
    <col min="13572" max="13572" width="5.28515625" style="6" customWidth="1"/>
    <col min="13573" max="13573" width="3.140625" style="6" customWidth="1"/>
    <col min="13574" max="13574" width="4" style="6" customWidth="1"/>
    <col min="13575" max="13575" width="29.28515625" style="6" customWidth="1"/>
    <col min="13576" max="13576" width="11.28515625" style="6" customWidth="1"/>
    <col min="13577" max="13577" width="4" style="6" customWidth="1"/>
    <col min="13578" max="13578" width="7" style="6" customWidth="1"/>
    <col min="13579" max="13579" width="33.140625" style="6" customWidth="1"/>
    <col min="13580" max="13580" width="3.85546875" style="6" customWidth="1"/>
    <col min="13581" max="13581" width="5.42578125" style="6" customWidth="1"/>
    <col min="13582" max="13582" width="2.42578125" style="6" customWidth="1"/>
    <col min="13583" max="13824" width="9.140625" style="6"/>
    <col min="13825" max="13825" width="6.7109375" style="6" customWidth="1"/>
    <col min="13826" max="13826" width="3.28515625" style="6" customWidth="1"/>
    <col min="13827" max="13827" width="3.7109375" style="6" customWidth="1"/>
    <col min="13828" max="13828" width="5.28515625" style="6" customWidth="1"/>
    <col min="13829" max="13829" width="3.140625" style="6" customWidth="1"/>
    <col min="13830" max="13830" width="4" style="6" customWidth="1"/>
    <col min="13831" max="13831" width="29.28515625" style="6" customWidth="1"/>
    <col min="13832" max="13832" width="11.28515625" style="6" customWidth="1"/>
    <col min="13833" max="13833" width="4" style="6" customWidth="1"/>
    <col min="13834" max="13834" width="7" style="6" customWidth="1"/>
    <col min="13835" max="13835" width="33.140625" style="6" customWidth="1"/>
    <col min="13836" max="13836" width="3.85546875" style="6" customWidth="1"/>
    <col min="13837" max="13837" width="5.42578125" style="6" customWidth="1"/>
    <col min="13838" max="13838" width="2.42578125" style="6" customWidth="1"/>
    <col min="13839" max="14080" width="9.140625" style="6"/>
    <col min="14081" max="14081" width="6.7109375" style="6" customWidth="1"/>
    <col min="14082" max="14082" width="3.28515625" style="6" customWidth="1"/>
    <col min="14083" max="14083" width="3.7109375" style="6" customWidth="1"/>
    <col min="14084" max="14084" width="5.28515625" style="6" customWidth="1"/>
    <col min="14085" max="14085" width="3.140625" style="6" customWidth="1"/>
    <col min="14086" max="14086" width="4" style="6" customWidth="1"/>
    <col min="14087" max="14087" width="29.28515625" style="6" customWidth="1"/>
    <col min="14088" max="14088" width="11.28515625" style="6" customWidth="1"/>
    <col min="14089" max="14089" width="4" style="6" customWidth="1"/>
    <col min="14090" max="14090" width="7" style="6" customWidth="1"/>
    <col min="14091" max="14091" width="33.140625" style="6" customWidth="1"/>
    <col min="14092" max="14092" width="3.85546875" style="6" customWidth="1"/>
    <col min="14093" max="14093" width="5.42578125" style="6" customWidth="1"/>
    <col min="14094" max="14094" width="2.42578125" style="6" customWidth="1"/>
    <col min="14095" max="14336" width="9.140625" style="6"/>
    <col min="14337" max="14337" width="6.7109375" style="6" customWidth="1"/>
    <col min="14338" max="14338" width="3.28515625" style="6" customWidth="1"/>
    <col min="14339" max="14339" width="3.7109375" style="6" customWidth="1"/>
    <col min="14340" max="14340" width="5.28515625" style="6" customWidth="1"/>
    <col min="14341" max="14341" width="3.140625" style="6" customWidth="1"/>
    <col min="14342" max="14342" width="4" style="6" customWidth="1"/>
    <col min="14343" max="14343" width="29.28515625" style="6" customWidth="1"/>
    <col min="14344" max="14344" width="11.28515625" style="6" customWidth="1"/>
    <col min="14345" max="14345" width="4" style="6" customWidth="1"/>
    <col min="14346" max="14346" width="7" style="6" customWidth="1"/>
    <col min="14347" max="14347" width="33.140625" style="6" customWidth="1"/>
    <col min="14348" max="14348" width="3.85546875" style="6" customWidth="1"/>
    <col min="14349" max="14349" width="5.42578125" style="6" customWidth="1"/>
    <col min="14350" max="14350" width="2.42578125" style="6" customWidth="1"/>
    <col min="14351" max="14592" width="9.140625" style="6"/>
    <col min="14593" max="14593" width="6.7109375" style="6" customWidth="1"/>
    <col min="14594" max="14594" width="3.28515625" style="6" customWidth="1"/>
    <col min="14595" max="14595" width="3.7109375" style="6" customWidth="1"/>
    <col min="14596" max="14596" width="5.28515625" style="6" customWidth="1"/>
    <col min="14597" max="14597" width="3.140625" style="6" customWidth="1"/>
    <col min="14598" max="14598" width="4" style="6" customWidth="1"/>
    <col min="14599" max="14599" width="29.28515625" style="6" customWidth="1"/>
    <col min="14600" max="14600" width="11.28515625" style="6" customWidth="1"/>
    <col min="14601" max="14601" width="4" style="6" customWidth="1"/>
    <col min="14602" max="14602" width="7" style="6" customWidth="1"/>
    <col min="14603" max="14603" width="33.140625" style="6" customWidth="1"/>
    <col min="14604" max="14604" width="3.85546875" style="6" customWidth="1"/>
    <col min="14605" max="14605" width="5.42578125" style="6" customWidth="1"/>
    <col min="14606" max="14606" width="2.42578125" style="6" customWidth="1"/>
    <col min="14607" max="14848" width="9.140625" style="6"/>
    <col min="14849" max="14849" width="6.7109375" style="6" customWidth="1"/>
    <col min="14850" max="14850" width="3.28515625" style="6" customWidth="1"/>
    <col min="14851" max="14851" width="3.7109375" style="6" customWidth="1"/>
    <col min="14852" max="14852" width="5.28515625" style="6" customWidth="1"/>
    <col min="14853" max="14853" width="3.140625" style="6" customWidth="1"/>
    <col min="14854" max="14854" width="4" style="6" customWidth="1"/>
    <col min="14855" max="14855" width="29.28515625" style="6" customWidth="1"/>
    <col min="14856" max="14856" width="11.28515625" style="6" customWidth="1"/>
    <col min="14857" max="14857" width="4" style="6" customWidth="1"/>
    <col min="14858" max="14858" width="7" style="6" customWidth="1"/>
    <col min="14859" max="14859" width="33.140625" style="6" customWidth="1"/>
    <col min="14860" max="14860" width="3.85546875" style="6" customWidth="1"/>
    <col min="14861" max="14861" width="5.42578125" style="6" customWidth="1"/>
    <col min="14862" max="14862" width="2.42578125" style="6" customWidth="1"/>
    <col min="14863" max="15104" width="9.140625" style="6"/>
    <col min="15105" max="15105" width="6.7109375" style="6" customWidth="1"/>
    <col min="15106" max="15106" width="3.28515625" style="6" customWidth="1"/>
    <col min="15107" max="15107" width="3.7109375" style="6" customWidth="1"/>
    <col min="15108" max="15108" width="5.28515625" style="6" customWidth="1"/>
    <col min="15109" max="15109" width="3.140625" style="6" customWidth="1"/>
    <col min="15110" max="15110" width="4" style="6" customWidth="1"/>
    <col min="15111" max="15111" width="29.28515625" style="6" customWidth="1"/>
    <col min="15112" max="15112" width="11.28515625" style="6" customWidth="1"/>
    <col min="15113" max="15113" width="4" style="6" customWidth="1"/>
    <col min="15114" max="15114" width="7" style="6" customWidth="1"/>
    <col min="15115" max="15115" width="33.140625" style="6" customWidth="1"/>
    <col min="15116" max="15116" width="3.85546875" style="6" customWidth="1"/>
    <col min="15117" max="15117" width="5.42578125" style="6" customWidth="1"/>
    <col min="15118" max="15118" width="2.42578125" style="6" customWidth="1"/>
    <col min="15119" max="15360" width="9.140625" style="6"/>
    <col min="15361" max="15361" width="6.7109375" style="6" customWidth="1"/>
    <col min="15362" max="15362" width="3.28515625" style="6" customWidth="1"/>
    <col min="15363" max="15363" width="3.7109375" style="6" customWidth="1"/>
    <col min="15364" max="15364" width="5.28515625" style="6" customWidth="1"/>
    <col min="15365" max="15365" width="3.140625" style="6" customWidth="1"/>
    <col min="15366" max="15366" width="4" style="6" customWidth="1"/>
    <col min="15367" max="15367" width="29.28515625" style="6" customWidth="1"/>
    <col min="15368" max="15368" width="11.28515625" style="6" customWidth="1"/>
    <col min="15369" max="15369" width="4" style="6" customWidth="1"/>
    <col min="15370" max="15370" width="7" style="6" customWidth="1"/>
    <col min="15371" max="15371" width="33.140625" style="6" customWidth="1"/>
    <col min="15372" max="15372" width="3.85546875" style="6" customWidth="1"/>
    <col min="15373" max="15373" width="5.42578125" style="6" customWidth="1"/>
    <col min="15374" max="15374" width="2.42578125" style="6" customWidth="1"/>
    <col min="15375" max="15616" width="9.140625" style="6"/>
    <col min="15617" max="15617" width="6.7109375" style="6" customWidth="1"/>
    <col min="15618" max="15618" width="3.28515625" style="6" customWidth="1"/>
    <col min="15619" max="15619" width="3.7109375" style="6" customWidth="1"/>
    <col min="15620" max="15620" width="5.28515625" style="6" customWidth="1"/>
    <col min="15621" max="15621" width="3.140625" style="6" customWidth="1"/>
    <col min="15622" max="15622" width="4" style="6" customWidth="1"/>
    <col min="15623" max="15623" width="29.28515625" style="6" customWidth="1"/>
    <col min="15624" max="15624" width="11.28515625" style="6" customWidth="1"/>
    <col min="15625" max="15625" width="4" style="6" customWidth="1"/>
    <col min="15626" max="15626" width="7" style="6" customWidth="1"/>
    <col min="15627" max="15627" width="33.140625" style="6" customWidth="1"/>
    <col min="15628" max="15628" width="3.85546875" style="6" customWidth="1"/>
    <col min="15629" max="15629" width="5.42578125" style="6" customWidth="1"/>
    <col min="15630" max="15630" width="2.42578125" style="6" customWidth="1"/>
    <col min="15631" max="15872" width="9.140625" style="6"/>
    <col min="15873" max="15873" width="6.7109375" style="6" customWidth="1"/>
    <col min="15874" max="15874" width="3.28515625" style="6" customWidth="1"/>
    <col min="15875" max="15875" width="3.7109375" style="6" customWidth="1"/>
    <col min="15876" max="15876" width="5.28515625" style="6" customWidth="1"/>
    <col min="15877" max="15877" width="3.140625" style="6" customWidth="1"/>
    <col min="15878" max="15878" width="4" style="6" customWidth="1"/>
    <col min="15879" max="15879" width="29.28515625" style="6" customWidth="1"/>
    <col min="15880" max="15880" width="11.28515625" style="6" customWidth="1"/>
    <col min="15881" max="15881" width="4" style="6" customWidth="1"/>
    <col min="15882" max="15882" width="7" style="6" customWidth="1"/>
    <col min="15883" max="15883" width="33.140625" style="6" customWidth="1"/>
    <col min="15884" max="15884" width="3.85546875" style="6" customWidth="1"/>
    <col min="15885" max="15885" width="5.42578125" style="6" customWidth="1"/>
    <col min="15886" max="15886" width="2.42578125" style="6" customWidth="1"/>
    <col min="15887" max="16128" width="9.140625" style="6"/>
    <col min="16129" max="16129" width="6.7109375" style="6" customWidth="1"/>
    <col min="16130" max="16130" width="3.28515625" style="6" customWidth="1"/>
    <col min="16131" max="16131" width="3.7109375" style="6" customWidth="1"/>
    <col min="16132" max="16132" width="5.28515625" style="6" customWidth="1"/>
    <col min="16133" max="16133" width="3.140625" style="6" customWidth="1"/>
    <col min="16134" max="16134" width="4" style="6" customWidth="1"/>
    <col min="16135" max="16135" width="29.28515625" style="6" customWidth="1"/>
    <col min="16136" max="16136" width="11.28515625" style="6" customWidth="1"/>
    <col min="16137" max="16137" width="4" style="6" customWidth="1"/>
    <col min="16138" max="16138" width="7" style="6" customWidth="1"/>
    <col min="16139" max="16139" width="33.140625" style="6" customWidth="1"/>
    <col min="16140" max="16140" width="3.85546875" style="6" customWidth="1"/>
    <col min="16141" max="16141" width="5.42578125" style="6" customWidth="1"/>
    <col min="16142" max="16142" width="2.42578125" style="6" customWidth="1"/>
    <col min="16143" max="16384" width="9.140625" style="6"/>
  </cols>
  <sheetData>
    <row r="1" spans="1:14" ht="18" customHeight="1" x14ac:dyDescent="0.25">
      <c r="A1" s="3"/>
      <c r="B1" s="3"/>
      <c r="C1" s="3"/>
      <c r="D1" s="3"/>
      <c r="E1" s="3"/>
      <c r="F1" s="3"/>
      <c r="G1" s="4"/>
      <c r="H1" s="3" t="s">
        <v>85</v>
      </c>
      <c r="I1" s="3"/>
      <c r="J1" s="3"/>
      <c r="K1" s="3"/>
      <c r="L1" s="5"/>
      <c r="M1" s="5"/>
    </row>
    <row r="2" spans="1:14" ht="18" customHeight="1" x14ac:dyDescent="0.25">
      <c r="B2" s="5"/>
      <c r="C2" s="5"/>
      <c r="D2" s="5"/>
      <c r="E2" s="5"/>
      <c r="F2" s="5"/>
      <c r="H2" s="3" t="s">
        <v>86</v>
      </c>
      <c r="I2" s="5"/>
      <c r="J2" s="5"/>
      <c r="K2" s="5"/>
      <c r="L2" s="5"/>
      <c r="M2" s="5"/>
    </row>
    <row r="3" spans="1:14" ht="18" customHeight="1" x14ac:dyDescent="0.25">
      <c r="B3" s="7"/>
      <c r="C3" s="7"/>
      <c r="D3" s="7"/>
      <c r="E3" s="7"/>
      <c r="F3" s="7"/>
      <c r="H3" s="2" t="s">
        <v>87</v>
      </c>
      <c r="I3" s="7"/>
      <c r="J3" s="7"/>
      <c r="K3" s="7"/>
      <c r="L3" s="7"/>
      <c r="M3" s="7"/>
    </row>
    <row r="4" spans="1:14" ht="18" customHeight="1" x14ac:dyDescent="0.2">
      <c r="B4" s="5"/>
      <c r="C4" s="5"/>
      <c r="D4" s="5"/>
      <c r="E4" s="5"/>
      <c r="F4" s="5"/>
      <c r="H4" s="3" t="s">
        <v>88</v>
      </c>
      <c r="I4" s="5"/>
      <c r="J4" s="5"/>
      <c r="K4" s="5"/>
      <c r="L4" s="5"/>
      <c r="M4" s="5"/>
    </row>
    <row r="5" spans="1:14" ht="18" customHeight="1" x14ac:dyDescent="0.25">
      <c r="B5" s="5"/>
      <c r="C5" s="5"/>
      <c r="D5" s="5"/>
      <c r="E5" s="5"/>
      <c r="F5" s="5"/>
      <c r="H5" s="3" t="s">
        <v>89</v>
      </c>
      <c r="I5" s="5"/>
      <c r="J5" s="5"/>
      <c r="K5" s="5"/>
      <c r="L5" s="5"/>
      <c r="M5" s="5"/>
    </row>
    <row r="6" spans="1:14" ht="18" customHeight="1" x14ac:dyDescent="0.25">
      <c r="B6" s="8"/>
      <c r="C6" s="8"/>
      <c r="D6" s="8"/>
      <c r="E6" s="8"/>
      <c r="F6" s="8"/>
      <c r="H6" s="9" t="s">
        <v>90</v>
      </c>
      <c r="I6" s="8"/>
      <c r="J6" s="8"/>
      <c r="K6" s="8"/>
      <c r="L6" s="10"/>
      <c r="M6" s="10"/>
    </row>
    <row r="7" spans="1:14" ht="18" customHeight="1" thickBot="1" x14ac:dyDescent="0.3">
      <c r="A7" s="11"/>
      <c r="B7" s="11"/>
      <c r="C7" s="11"/>
      <c r="D7" s="11"/>
      <c r="E7" s="11"/>
      <c r="F7" s="11"/>
      <c r="G7" s="12"/>
      <c r="H7" s="12"/>
      <c r="I7" s="12"/>
      <c r="J7" s="12"/>
      <c r="K7" s="12"/>
      <c r="L7" s="10"/>
      <c r="M7" s="10"/>
    </row>
    <row r="8" spans="1:14" ht="18" customHeight="1" x14ac:dyDescent="0.25">
      <c r="G8" s="13"/>
      <c r="H8" s="13"/>
      <c r="I8" s="13"/>
      <c r="J8" s="13"/>
      <c r="K8" s="13"/>
      <c r="L8" s="10"/>
      <c r="M8" s="10"/>
    </row>
    <row r="9" spans="1:14" ht="18" customHeight="1" x14ac:dyDescent="0.35">
      <c r="A9" s="271" t="s">
        <v>91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14"/>
    </row>
    <row r="12" spans="1:14" ht="18" customHeight="1" x14ac:dyDescent="0.35">
      <c r="K12" s="6" t="s">
        <v>2</v>
      </c>
    </row>
    <row r="13" spans="1:14" ht="18" customHeight="1" x14ac:dyDescent="0.35">
      <c r="B13" s="6" t="s">
        <v>92</v>
      </c>
      <c r="K13" s="6" t="s">
        <v>2</v>
      </c>
    </row>
    <row r="15" spans="1:14" ht="18" customHeight="1" x14ac:dyDescent="0.35">
      <c r="B15" s="6" t="s">
        <v>93</v>
      </c>
      <c r="E15" s="6" t="s">
        <v>37</v>
      </c>
      <c r="F15" s="15" t="str">
        <f>SPD!E66</f>
        <v>Dr. Irma Salamah, S.T.M.TI.</v>
      </c>
      <c r="G15" s="16"/>
      <c r="N15" s="16"/>
    </row>
    <row r="16" spans="1:14" ht="18" customHeight="1" x14ac:dyDescent="0.35">
      <c r="B16" s="6" t="s">
        <v>4</v>
      </c>
      <c r="E16" s="6" t="s">
        <v>37</v>
      </c>
      <c r="F16" s="17" t="str">
        <f>SPD!E67</f>
        <v>197410221998022001</v>
      </c>
      <c r="G16" s="18"/>
      <c r="N16" s="19"/>
    </row>
    <row r="17" spans="2:19" ht="18" customHeight="1" x14ac:dyDescent="0.35">
      <c r="B17" s="6" t="s">
        <v>94</v>
      </c>
      <c r="E17" s="6" t="s">
        <v>37</v>
      </c>
      <c r="F17" s="20" t="str">
        <f>SPD!E71</f>
        <v>Wakil Direktur IV</v>
      </c>
    </row>
    <row r="19" spans="2:19" ht="30.75" customHeight="1" x14ac:dyDescent="0.35">
      <c r="B19" s="272" t="str">
        <f>'Surat Pernyataan'!B19:K19</f>
        <v>Berdasarkan Surat Tugas tanggal 15 Januari 2026 Nomor: 0361/PL6.4.2/ST/2025 dengan ini kami menyatakan dengan sesungguhnya bahwa :</v>
      </c>
      <c r="C19" s="272"/>
      <c r="D19" s="272"/>
      <c r="E19" s="272"/>
      <c r="F19" s="272"/>
      <c r="G19" s="272"/>
      <c r="H19" s="272"/>
      <c r="I19" s="272"/>
      <c r="J19" s="272"/>
      <c r="K19" s="272"/>
    </row>
    <row r="21" spans="2:19" ht="45.75" customHeight="1" x14ac:dyDescent="0.35">
      <c r="B21" s="21" t="s">
        <v>23</v>
      </c>
      <c r="C21" s="272" t="s">
        <v>95</v>
      </c>
      <c r="D21" s="272"/>
      <c r="E21" s="272"/>
      <c r="F21" s="272"/>
      <c r="G21" s="272"/>
      <c r="H21" s="272"/>
      <c r="I21" s="272"/>
      <c r="J21" s="272"/>
      <c r="K21" s="272"/>
      <c r="L21" s="21"/>
    </row>
    <row r="22" spans="2:19" ht="15" customHeight="1" x14ac:dyDescent="0.35"/>
    <row r="23" spans="2:19" s="21" customFormat="1" ht="30.75" customHeight="1" x14ac:dyDescent="0.35">
      <c r="B23" s="21" t="s">
        <v>96</v>
      </c>
      <c r="C23" s="272" t="s">
        <v>97</v>
      </c>
      <c r="D23" s="272"/>
      <c r="E23" s="272"/>
      <c r="F23" s="272"/>
      <c r="G23" s="272"/>
      <c r="H23" s="272"/>
      <c r="I23" s="272"/>
      <c r="J23" s="272"/>
      <c r="K23" s="272"/>
      <c r="S23" s="21" t="s">
        <v>2</v>
      </c>
    </row>
    <row r="24" spans="2:19" ht="15" customHeight="1" x14ac:dyDescent="0.35">
      <c r="B24" s="6" t="s">
        <v>2</v>
      </c>
    </row>
    <row r="25" spans="2:19" ht="22.5" customHeight="1" x14ac:dyDescent="0.35">
      <c r="B25" s="272" t="s">
        <v>98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1"/>
    </row>
    <row r="26" spans="2:19" ht="15" customHeight="1" x14ac:dyDescent="0.35"/>
    <row r="27" spans="2:19" ht="18" customHeight="1" x14ac:dyDescent="0.35">
      <c r="B27" s="6" t="s">
        <v>99</v>
      </c>
      <c r="I27" s="22" t="s">
        <v>100</v>
      </c>
      <c r="K27" s="23" t="s">
        <v>209</v>
      </c>
      <c r="O27" s="6" t="s">
        <v>5</v>
      </c>
    </row>
    <row r="28" spans="2:19" ht="18" customHeight="1" x14ac:dyDescent="0.35">
      <c r="B28" s="6" t="s">
        <v>101</v>
      </c>
      <c r="I28" s="6" t="s">
        <v>102</v>
      </c>
    </row>
    <row r="29" spans="2:19" ht="18" customHeight="1" x14ac:dyDescent="0.25">
      <c r="B29" s="6" t="s">
        <v>62</v>
      </c>
      <c r="K29" s="6" t="s">
        <v>2</v>
      </c>
    </row>
    <row r="32" spans="2:19" ht="18" customHeight="1" x14ac:dyDescent="0.25">
      <c r="B32" s="6" t="str">
        <f>'Rincian Biaya Perjadin'!G50</f>
        <v>Dodi Oktavianto, S.E.</v>
      </c>
      <c r="I32" s="6" t="str">
        <f>F15</f>
        <v>Dr. Irma Salamah, S.T.M.TI.</v>
      </c>
    </row>
    <row r="33" spans="2:10" ht="18" customHeight="1" x14ac:dyDescent="0.25">
      <c r="B33" s="6" t="s">
        <v>64</v>
      </c>
      <c r="I33" s="6" t="s">
        <v>4</v>
      </c>
      <c r="J33" s="22" t="str">
        <f>F16</f>
        <v>197410221998022001</v>
      </c>
    </row>
    <row r="34" spans="2:10" ht="18" customHeight="1" x14ac:dyDescent="0.25">
      <c r="J34" s="22"/>
    </row>
    <row r="35" spans="2:10" ht="18" customHeight="1" x14ac:dyDescent="0.25">
      <c r="I35" s="6" t="s">
        <v>103</v>
      </c>
      <c r="J35" s="22"/>
    </row>
    <row r="36" spans="2:10" ht="18" customHeight="1" x14ac:dyDescent="0.25">
      <c r="J36" s="22"/>
    </row>
  </sheetData>
  <mergeCells count="5">
    <mergeCell ref="A9:K9"/>
    <mergeCell ref="B19:K19"/>
    <mergeCell ref="C21:K21"/>
    <mergeCell ref="C23:K23"/>
    <mergeCell ref="B25:K25"/>
  </mergeCells>
  <hyperlinks>
    <hyperlink ref="H6" r:id="rId1" display="http://polsri.ac.id/"/>
  </hyperlinks>
  <printOptions horizontalCentered="1"/>
  <pageMargins left="0.47244094488188981" right="0" top="1.1417322834645669" bottom="0.74803149606299213" header="0.31496062992125984" footer="0.31496062992125984"/>
  <pageSetup paperSize="9" scale="85" orientation="portrait" horizontalDpi="360" verticalDpi="36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opLeftCell="A16" workbookViewId="0">
      <selection activeCell="P22" sqref="P22"/>
    </sheetView>
  </sheetViews>
  <sheetFormatPr defaultRowHeight="18" customHeight="1" x14ac:dyDescent="0.25"/>
  <cols>
    <col min="1" max="1" width="6.7109375" style="6" customWidth="1"/>
    <col min="2" max="2" width="3.28515625" style="6" customWidth="1"/>
    <col min="3" max="3" width="3.7109375" style="6" customWidth="1"/>
    <col min="4" max="4" width="5.28515625" style="6" customWidth="1"/>
    <col min="5" max="5" width="3.140625" style="6" customWidth="1"/>
    <col min="6" max="6" width="4" style="6" customWidth="1"/>
    <col min="7" max="7" width="29.28515625" style="6" customWidth="1"/>
    <col min="8" max="8" width="11.28515625" style="6" customWidth="1"/>
    <col min="9" max="9" width="4" style="6" customWidth="1"/>
    <col min="10" max="10" width="7" style="6" customWidth="1"/>
    <col min="11" max="11" width="33.140625" style="6" customWidth="1"/>
    <col min="12" max="12" width="3.85546875" style="6" customWidth="1"/>
    <col min="13" max="13" width="5.42578125" style="6" customWidth="1"/>
    <col min="14" max="14" width="2.42578125" style="6" customWidth="1"/>
    <col min="15" max="256" width="9.140625" style="6"/>
    <col min="257" max="257" width="6.7109375" style="6" customWidth="1"/>
    <col min="258" max="258" width="3.28515625" style="6" customWidth="1"/>
    <col min="259" max="259" width="3.7109375" style="6" customWidth="1"/>
    <col min="260" max="260" width="5.28515625" style="6" customWidth="1"/>
    <col min="261" max="261" width="3.140625" style="6" customWidth="1"/>
    <col min="262" max="262" width="4" style="6" customWidth="1"/>
    <col min="263" max="263" width="29.28515625" style="6" customWidth="1"/>
    <col min="264" max="264" width="11.28515625" style="6" customWidth="1"/>
    <col min="265" max="265" width="4" style="6" customWidth="1"/>
    <col min="266" max="266" width="7" style="6" customWidth="1"/>
    <col min="267" max="267" width="33.140625" style="6" customWidth="1"/>
    <col min="268" max="268" width="3.85546875" style="6" customWidth="1"/>
    <col min="269" max="269" width="5.42578125" style="6" customWidth="1"/>
    <col min="270" max="270" width="2.42578125" style="6" customWidth="1"/>
    <col min="271" max="512" width="9.140625" style="6"/>
    <col min="513" max="513" width="6.7109375" style="6" customWidth="1"/>
    <col min="514" max="514" width="3.28515625" style="6" customWidth="1"/>
    <col min="515" max="515" width="3.7109375" style="6" customWidth="1"/>
    <col min="516" max="516" width="5.28515625" style="6" customWidth="1"/>
    <col min="517" max="517" width="3.140625" style="6" customWidth="1"/>
    <col min="518" max="518" width="4" style="6" customWidth="1"/>
    <col min="519" max="519" width="29.28515625" style="6" customWidth="1"/>
    <col min="520" max="520" width="11.28515625" style="6" customWidth="1"/>
    <col min="521" max="521" width="4" style="6" customWidth="1"/>
    <col min="522" max="522" width="7" style="6" customWidth="1"/>
    <col min="523" max="523" width="33.140625" style="6" customWidth="1"/>
    <col min="524" max="524" width="3.85546875" style="6" customWidth="1"/>
    <col min="525" max="525" width="5.42578125" style="6" customWidth="1"/>
    <col min="526" max="526" width="2.42578125" style="6" customWidth="1"/>
    <col min="527" max="768" width="9.140625" style="6"/>
    <col min="769" max="769" width="6.7109375" style="6" customWidth="1"/>
    <col min="770" max="770" width="3.28515625" style="6" customWidth="1"/>
    <col min="771" max="771" width="3.7109375" style="6" customWidth="1"/>
    <col min="772" max="772" width="5.28515625" style="6" customWidth="1"/>
    <col min="773" max="773" width="3.140625" style="6" customWidth="1"/>
    <col min="774" max="774" width="4" style="6" customWidth="1"/>
    <col min="775" max="775" width="29.28515625" style="6" customWidth="1"/>
    <col min="776" max="776" width="11.28515625" style="6" customWidth="1"/>
    <col min="777" max="777" width="4" style="6" customWidth="1"/>
    <col min="778" max="778" width="7" style="6" customWidth="1"/>
    <col min="779" max="779" width="33.140625" style="6" customWidth="1"/>
    <col min="780" max="780" width="3.85546875" style="6" customWidth="1"/>
    <col min="781" max="781" width="5.42578125" style="6" customWidth="1"/>
    <col min="782" max="782" width="2.42578125" style="6" customWidth="1"/>
    <col min="783" max="1024" width="9.140625" style="6"/>
    <col min="1025" max="1025" width="6.7109375" style="6" customWidth="1"/>
    <col min="1026" max="1026" width="3.28515625" style="6" customWidth="1"/>
    <col min="1027" max="1027" width="3.7109375" style="6" customWidth="1"/>
    <col min="1028" max="1028" width="5.28515625" style="6" customWidth="1"/>
    <col min="1029" max="1029" width="3.140625" style="6" customWidth="1"/>
    <col min="1030" max="1030" width="4" style="6" customWidth="1"/>
    <col min="1031" max="1031" width="29.28515625" style="6" customWidth="1"/>
    <col min="1032" max="1032" width="11.28515625" style="6" customWidth="1"/>
    <col min="1033" max="1033" width="4" style="6" customWidth="1"/>
    <col min="1034" max="1034" width="7" style="6" customWidth="1"/>
    <col min="1035" max="1035" width="33.140625" style="6" customWidth="1"/>
    <col min="1036" max="1036" width="3.85546875" style="6" customWidth="1"/>
    <col min="1037" max="1037" width="5.42578125" style="6" customWidth="1"/>
    <col min="1038" max="1038" width="2.42578125" style="6" customWidth="1"/>
    <col min="1039" max="1280" width="9.140625" style="6"/>
    <col min="1281" max="1281" width="6.7109375" style="6" customWidth="1"/>
    <col min="1282" max="1282" width="3.28515625" style="6" customWidth="1"/>
    <col min="1283" max="1283" width="3.7109375" style="6" customWidth="1"/>
    <col min="1284" max="1284" width="5.28515625" style="6" customWidth="1"/>
    <col min="1285" max="1285" width="3.140625" style="6" customWidth="1"/>
    <col min="1286" max="1286" width="4" style="6" customWidth="1"/>
    <col min="1287" max="1287" width="29.28515625" style="6" customWidth="1"/>
    <col min="1288" max="1288" width="11.28515625" style="6" customWidth="1"/>
    <col min="1289" max="1289" width="4" style="6" customWidth="1"/>
    <col min="1290" max="1290" width="7" style="6" customWidth="1"/>
    <col min="1291" max="1291" width="33.140625" style="6" customWidth="1"/>
    <col min="1292" max="1292" width="3.85546875" style="6" customWidth="1"/>
    <col min="1293" max="1293" width="5.42578125" style="6" customWidth="1"/>
    <col min="1294" max="1294" width="2.42578125" style="6" customWidth="1"/>
    <col min="1295" max="1536" width="9.140625" style="6"/>
    <col min="1537" max="1537" width="6.7109375" style="6" customWidth="1"/>
    <col min="1538" max="1538" width="3.28515625" style="6" customWidth="1"/>
    <col min="1539" max="1539" width="3.7109375" style="6" customWidth="1"/>
    <col min="1540" max="1540" width="5.28515625" style="6" customWidth="1"/>
    <col min="1541" max="1541" width="3.140625" style="6" customWidth="1"/>
    <col min="1542" max="1542" width="4" style="6" customWidth="1"/>
    <col min="1543" max="1543" width="29.28515625" style="6" customWidth="1"/>
    <col min="1544" max="1544" width="11.28515625" style="6" customWidth="1"/>
    <col min="1545" max="1545" width="4" style="6" customWidth="1"/>
    <col min="1546" max="1546" width="7" style="6" customWidth="1"/>
    <col min="1547" max="1547" width="33.140625" style="6" customWidth="1"/>
    <col min="1548" max="1548" width="3.85546875" style="6" customWidth="1"/>
    <col min="1549" max="1549" width="5.42578125" style="6" customWidth="1"/>
    <col min="1550" max="1550" width="2.42578125" style="6" customWidth="1"/>
    <col min="1551" max="1792" width="9.140625" style="6"/>
    <col min="1793" max="1793" width="6.7109375" style="6" customWidth="1"/>
    <col min="1794" max="1794" width="3.28515625" style="6" customWidth="1"/>
    <col min="1795" max="1795" width="3.7109375" style="6" customWidth="1"/>
    <col min="1796" max="1796" width="5.28515625" style="6" customWidth="1"/>
    <col min="1797" max="1797" width="3.140625" style="6" customWidth="1"/>
    <col min="1798" max="1798" width="4" style="6" customWidth="1"/>
    <col min="1799" max="1799" width="29.28515625" style="6" customWidth="1"/>
    <col min="1800" max="1800" width="11.28515625" style="6" customWidth="1"/>
    <col min="1801" max="1801" width="4" style="6" customWidth="1"/>
    <col min="1802" max="1802" width="7" style="6" customWidth="1"/>
    <col min="1803" max="1803" width="33.140625" style="6" customWidth="1"/>
    <col min="1804" max="1804" width="3.85546875" style="6" customWidth="1"/>
    <col min="1805" max="1805" width="5.42578125" style="6" customWidth="1"/>
    <col min="1806" max="1806" width="2.42578125" style="6" customWidth="1"/>
    <col min="1807" max="2048" width="9.140625" style="6"/>
    <col min="2049" max="2049" width="6.7109375" style="6" customWidth="1"/>
    <col min="2050" max="2050" width="3.28515625" style="6" customWidth="1"/>
    <col min="2051" max="2051" width="3.7109375" style="6" customWidth="1"/>
    <col min="2052" max="2052" width="5.28515625" style="6" customWidth="1"/>
    <col min="2053" max="2053" width="3.140625" style="6" customWidth="1"/>
    <col min="2054" max="2054" width="4" style="6" customWidth="1"/>
    <col min="2055" max="2055" width="29.28515625" style="6" customWidth="1"/>
    <col min="2056" max="2056" width="11.28515625" style="6" customWidth="1"/>
    <col min="2057" max="2057" width="4" style="6" customWidth="1"/>
    <col min="2058" max="2058" width="7" style="6" customWidth="1"/>
    <col min="2059" max="2059" width="33.140625" style="6" customWidth="1"/>
    <col min="2060" max="2060" width="3.85546875" style="6" customWidth="1"/>
    <col min="2061" max="2061" width="5.42578125" style="6" customWidth="1"/>
    <col min="2062" max="2062" width="2.42578125" style="6" customWidth="1"/>
    <col min="2063" max="2304" width="9.140625" style="6"/>
    <col min="2305" max="2305" width="6.7109375" style="6" customWidth="1"/>
    <col min="2306" max="2306" width="3.28515625" style="6" customWidth="1"/>
    <col min="2307" max="2307" width="3.7109375" style="6" customWidth="1"/>
    <col min="2308" max="2308" width="5.28515625" style="6" customWidth="1"/>
    <col min="2309" max="2309" width="3.140625" style="6" customWidth="1"/>
    <col min="2310" max="2310" width="4" style="6" customWidth="1"/>
    <col min="2311" max="2311" width="29.28515625" style="6" customWidth="1"/>
    <col min="2312" max="2312" width="11.28515625" style="6" customWidth="1"/>
    <col min="2313" max="2313" width="4" style="6" customWidth="1"/>
    <col min="2314" max="2314" width="7" style="6" customWidth="1"/>
    <col min="2315" max="2315" width="33.140625" style="6" customWidth="1"/>
    <col min="2316" max="2316" width="3.85546875" style="6" customWidth="1"/>
    <col min="2317" max="2317" width="5.42578125" style="6" customWidth="1"/>
    <col min="2318" max="2318" width="2.42578125" style="6" customWidth="1"/>
    <col min="2319" max="2560" width="9.140625" style="6"/>
    <col min="2561" max="2561" width="6.7109375" style="6" customWidth="1"/>
    <col min="2562" max="2562" width="3.28515625" style="6" customWidth="1"/>
    <col min="2563" max="2563" width="3.7109375" style="6" customWidth="1"/>
    <col min="2564" max="2564" width="5.28515625" style="6" customWidth="1"/>
    <col min="2565" max="2565" width="3.140625" style="6" customWidth="1"/>
    <col min="2566" max="2566" width="4" style="6" customWidth="1"/>
    <col min="2567" max="2567" width="29.28515625" style="6" customWidth="1"/>
    <col min="2568" max="2568" width="11.28515625" style="6" customWidth="1"/>
    <col min="2569" max="2569" width="4" style="6" customWidth="1"/>
    <col min="2570" max="2570" width="7" style="6" customWidth="1"/>
    <col min="2571" max="2571" width="33.140625" style="6" customWidth="1"/>
    <col min="2572" max="2572" width="3.85546875" style="6" customWidth="1"/>
    <col min="2573" max="2573" width="5.42578125" style="6" customWidth="1"/>
    <col min="2574" max="2574" width="2.42578125" style="6" customWidth="1"/>
    <col min="2575" max="2816" width="9.140625" style="6"/>
    <col min="2817" max="2817" width="6.7109375" style="6" customWidth="1"/>
    <col min="2818" max="2818" width="3.28515625" style="6" customWidth="1"/>
    <col min="2819" max="2819" width="3.7109375" style="6" customWidth="1"/>
    <col min="2820" max="2820" width="5.28515625" style="6" customWidth="1"/>
    <col min="2821" max="2821" width="3.140625" style="6" customWidth="1"/>
    <col min="2822" max="2822" width="4" style="6" customWidth="1"/>
    <col min="2823" max="2823" width="29.28515625" style="6" customWidth="1"/>
    <col min="2824" max="2824" width="11.28515625" style="6" customWidth="1"/>
    <col min="2825" max="2825" width="4" style="6" customWidth="1"/>
    <col min="2826" max="2826" width="7" style="6" customWidth="1"/>
    <col min="2827" max="2827" width="33.140625" style="6" customWidth="1"/>
    <col min="2828" max="2828" width="3.85546875" style="6" customWidth="1"/>
    <col min="2829" max="2829" width="5.42578125" style="6" customWidth="1"/>
    <col min="2830" max="2830" width="2.42578125" style="6" customWidth="1"/>
    <col min="2831" max="3072" width="9.140625" style="6"/>
    <col min="3073" max="3073" width="6.7109375" style="6" customWidth="1"/>
    <col min="3074" max="3074" width="3.28515625" style="6" customWidth="1"/>
    <col min="3075" max="3075" width="3.7109375" style="6" customWidth="1"/>
    <col min="3076" max="3076" width="5.28515625" style="6" customWidth="1"/>
    <col min="3077" max="3077" width="3.140625" style="6" customWidth="1"/>
    <col min="3078" max="3078" width="4" style="6" customWidth="1"/>
    <col min="3079" max="3079" width="29.28515625" style="6" customWidth="1"/>
    <col min="3080" max="3080" width="11.28515625" style="6" customWidth="1"/>
    <col min="3081" max="3081" width="4" style="6" customWidth="1"/>
    <col min="3082" max="3082" width="7" style="6" customWidth="1"/>
    <col min="3083" max="3083" width="33.140625" style="6" customWidth="1"/>
    <col min="3084" max="3084" width="3.85546875" style="6" customWidth="1"/>
    <col min="3085" max="3085" width="5.42578125" style="6" customWidth="1"/>
    <col min="3086" max="3086" width="2.42578125" style="6" customWidth="1"/>
    <col min="3087" max="3328" width="9.140625" style="6"/>
    <col min="3329" max="3329" width="6.7109375" style="6" customWidth="1"/>
    <col min="3330" max="3330" width="3.28515625" style="6" customWidth="1"/>
    <col min="3331" max="3331" width="3.7109375" style="6" customWidth="1"/>
    <col min="3332" max="3332" width="5.28515625" style="6" customWidth="1"/>
    <col min="3333" max="3333" width="3.140625" style="6" customWidth="1"/>
    <col min="3334" max="3334" width="4" style="6" customWidth="1"/>
    <col min="3335" max="3335" width="29.28515625" style="6" customWidth="1"/>
    <col min="3336" max="3336" width="11.28515625" style="6" customWidth="1"/>
    <col min="3337" max="3337" width="4" style="6" customWidth="1"/>
    <col min="3338" max="3338" width="7" style="6" customWidth="1"/>
    <col min="3339" max="3339" width="33.140625" style="6" customWidth="1"/>
    <col min="3340" max="3340" width="3.85546875" style="6" customWidth="1"/>
    <col min="3341" max="3341" width="5.42578125" style="6" customWidth="1"/>
    <col min="3342" max="3342" width="2.42578125" style="6" customWidth="1"/>
    <col min="3343" max="3584" width="9.140625" style="6"/>
    <col min="3585" max="3585" width="6.7109375" style="6" customWidth="1"/>
    <col min="3586" max="3586" width="3.28515625" style="6" customWidth="1"/>
    <col min="3587" max="3587" width="3.7109375" style="6" customWidth="1"/>
    <col min="3588" max="3588" width="5.28515625" style="6" customWidth="1"/>
    <col min="3589" max="3589" width="3.140625" style="6" customWidth="1"/>
    <col min="3590" max="3590" width="4" style="6" customWidth="1"/>
    <col min="3591" max="3591" width="29.28515625" style="6" customWidth="1"/>
    <col min="3592" max="3592" width="11.28515625" style="6" customWidth="1"/>
    <col min="3593" max="3593" width="4" style="6" customWidth="1"/>
    <col min="3594" max="3594" width="7" style="6" customWidth="1"/>
    <col min="3595" max="3595" width="33.140625" style="6" customWidth="1"/>
    <col min="3596" max="3596" width="3.85546875" style="6" customWidth="1"/>
    <col min="3597" max="3597" width="5.42578125" style="6" customWidth="1"/>
    <col min="3598" max="3598" width="2.42578125" style="6" customWidth="1"/>
    <col min="3599" max="3840" width="9.140625" style="6"/>
    <col min="3841" max="3841" width="6.7109375" style="6" customWidth="1"/>
    <col min="3842" max="3842" width="3.28515625" style="6" customWidth="1"/>
    <col min="3843" max="3843" width="3.7109375" style="6" customWidth="1"/>
    <col min="3844" max="3844" width="5.28515625" style="6" customWidth="1"/>
    <col min="3845" max="3845" width="3.140625" style="6" customWidth="1"/>
    <col min="3846" max="3846" width="4" style="6" customWidth="1"/>
    <col min="3847" max="3847" width="29.28515625" style="6" customWidth="1"/>
    <col min="3848" max="3848" width="11.28515625" style="6" customWidth="1"/>
    <col min="3849" max="3849" width="4" style="6" customWidth="1"/>
    <col min="3850" max="3850" width="7" style="6" customWidth="1"/>
    <col min="3851" max="3851" width="33.140625" style="6" customWidth="1"/>
    <col min="3852" max="3852" width="3.85546875" style="6" customWidth="1"/>
    <col min="3853" max="3853" width="5.42578125" style="6" customWidth="1"/>
    <col min="3854" max="3854" width="2.42578125" style="6" customWidth="1"/>
    <col min="3855" max="4096" width="9.140625" style="6"/>
    <col min="4097" max="4097" width="6.7109375" style="6" customWidth="1"/>
    <col min="4098" max="4098" width="3.28515625" style="6" customWidth="1"/>
    <col min="4099" max="4099" width="3.7109375" style="6" customWidth="1"/>
    <col min="4100" max="4100" width="5.28515625" style="6" customWidth="1"/>
    <col min="4101" max="4101" width="3.140625" style="6" customWidth="1"/>
    <col min="4102" max="4102" width="4" style="6" customWidth="1"/>
    <col min="4103" max="4103" width="29.28515625" style="6" customWidth="1"/>
    <col min="4104" max="4104" width="11.28515625" style="6" customWidth="1"/>
    <col min="4105" max="4105" width="4" style="6" customWidth="1"/>
    <col min="4106" max="4106" width="7" style="6" customWidth="1"/>
    <col min="4107" max="4107" width="33.140625" style="6" customWidth="1"/>
    <col min="4108" max="4108" width="3.85546875" style="6" customWidth="1"/>
    <col min="4109" max="4109" width="5.42578125" style="6" customWidth="1"/>
    <col min="4110" max="4110" width="2.42578125" style="6" customWidth="1"/>
    <col min="4111" max="4352" width="9.140625" style="6"/>
    <col min="4353" max="4353" width="6.7109375" style="6" customWidth="1"/>
    <col min="4354" max="4354" width="3.28515625" style="6" customWidth="1"/>
    <col min="4355" max="4355" width="3.7109375" style="6" customWidth="1"/>
    <col min="4356" max="4356" width="5.28515625" style="6" customWidth="1"/>
    <col min="4357" max="4357" width="3.140625" style="6" customWidth="1"/>
    <col min="4358" max="4358" width="4" style="6" customWidth="1"/>
    <col min="4359" max="4359" width="29.28515625" style="6" customWidth="1"/>
    <col min="4360" max="4360" width="11.28515625" style="6" customWidth="1"/>
    <col min="4361" max="4361" width="4" style="6" customWidth="1"/>
    <col min="4362" max="4362" width="7" style="6" customWidth="1"/>
    <col min="4363" max="4363" width="33.140625" style="6" customWidth="1"/>
    <col min="4364" max="4364" width="3.85546875" style="6" customWidth="1"/>
    <col min="4365" max="4365" width="5.42578125" style="6" customWidth="1"/>
    <col min="4366" max="4366" width="2.42578125" style="6" customWidth="1"/>
    <col min="4367" max="4608" width="9.140625" style="6"/>
    <col min="4609" max="4609" width="6.7109375" style="6" customWidth="1"/>
    <col min="4610" max="4610" width="3.28515625" style="6" customWidth="1"/>
    <col min="4611" max="4611" width="3.7109375" style="6" customWidth="1"/>
    <col min="4612" max="4612" width="5.28515625" style="6" customWidth="1"/>
    <col min="4613" max="4613" width="3.140625" style="6" customWidth="1"/>
    <col min="4614" max="4614" width="4" style="6" customWidth="1"/>
    <col min="4615" max="4615" width="29.28515625" style="6" customWidth="1"/>
    <col min="4616" max="4616" width="11.28515625" style="6" customWidth="1"/>
    <col min="4617" max="4617" width="4" style="6" customWidth="1"/>
    <col min="4618" max="4618" width="7" style="6" customWidth="1"/>
    <col min="4619" max="4619" width="33.140625" style="6" customWidth="1"/>
    <col min="4620" max="4620" width="3.85546875" style="6" customWidth="1"/>
    <col min="4621" max="4621" width="5.42578125" style="6" customWidth="1"/>
    <col min="4622" max="4622" width="2.42578125" style="6" customWidth="1"/>
    <col min="4623" max="4864" width="9.140625" style="6"/>
    <col min="4865" max="4865" width="6.7109375" style="6" customWidth="1"/>
    <col min="4866" max="4866" width="3.28515625" style="6" customWidth="1"/>
    <col min="4867" max="4867" width="3.7109375" style="6" customWidth="1"/>
    <col min="4868" max="4868" width="5.28515625" style="6" customWidth="1"/>
    <col min="4869" max="4869" width="3.140625" style="6" customWidth="1"/>
    <col min="4870" max="4870" width="4" style="6" customWidth="1"/>
    <col min="4871" max="4871" width="29.28515625" style="6" customWidth="1"/>
    <col min="4872" max="4872" width="11.28515625" style="6" customWidth="1"/>
    <col min="4873" max="4873" width="4" style="6" customWidth="1"/>
    <col min="4874" max="4874" width="7" style="6" customWidth="1"/>
    <col min="4875" max="4875" width="33.140625" style="6" customWidth="1"/>
    <col min="4876" max="4876" width="3.85546875" style="6" customWidth="1"/>
    <col min="4877" max="4877" width="5.42578125" style="6" customWidth="1"/>
    <col min="4878" max="4878" width="2.42578125" style="6" customWidth="1"/>
    <col min="4879" max="5120" width="9.140625" style="6"/>
    <col min="5121" max="5121" width="6.7109375" style="6" customWidth="1"/>
    <col min="5122" max="5122" width="3.28515625" style="6" customWidth="1"/>
    <col min="5123" max="5123" width="3.7109375" style="6" customWidth="1"/>
    <col min="5124" max="5124" width="5.28515625" style="6" customWidth="1"/>
    <col min="5125" max="5125" width="3.140625" style="6" customWidth="1"/>
    <col min="5126" max="5126" width="4" style="6" customWidth="1"/>
    <col min="5127" max="5127" width="29.28515625" style="6" customWidth="1"/>
    <col min="5128" max="5128" width="11.28515625" style="6" customWidth="1"/>
    <col min="5129" max="5129" width="4" style="6" customWidth="1"/>
    <col min="5130" max="5130" width="7" style="6" customWidth="1"/>
    <col min="5131" max="5131" width="33.140625" style="6" customWidth="1"/>
    <col min="5132" max="5132" width="3.85546875" style="6" customWidth="1"/>
    <col min="5133" max="5133" width="5.42578125" style="6" customWidth="1"/>
    <col min="5134" max="5134" width="2.42578125" style="6" customWidth="1"/>
    <col min="5135" max="5376" width="9.140625" style="6"/>
    <col min="5377" max="5377" width="6.7109375" style="6" customWidth="1"/>
    <col min="5378" max="5378" width="3.28515625" style="6" customWidth="1"/>
    <col min="5379" max="5379" width="3.7109375" style="6" customWidth="1"/>
    <col min="5380" max="5380" width="5.28515625" style="6" customWidth="1"/>
    <col min="5381" max="5381" width="3.140625" style="6" customWidth="1"/>
    <col min="5382" max="5382" width="4" style="6" customWidth="1"/>
    <col min="5383" max="5383" width="29.28515625" style="6" customWidth="1"/>
    <col min="5384" max="5384" width="11.28515625" style="6" customWidth="1"/>
    <col min="5385" max="5385" width="4" style="6" customWidth="1"/>
    <col min="5386" max="5386" width="7" style="6" customWidth="1"/>
    <col min="5387" max="5387" width="33.140625" style="6" customWidth="1"/>
    <col min="5388" max="5388" width="3.85546875" style="6" customWidth="1"/>
    <col min="5389" max="5389" width="5.42578125" style="6" customWidth="1"/>
    <col min="5390" max="5390" width="2.42578125" style="6" customWidth="1"/>
    <col min="5391" max="5632" width="9.140625" style="6"/>
    <col min="5633" max="5633" width="6.7109375" style="6" customWidth="1"/>
    <col min="5634" max="5634" width="3.28515625" style="6" customWidth="1"/>
    <col min="5635" max="5635" width="3.7109375" style="6" customWidth="1"/>
    <col min="5636" max="5636" width="5.28515625" style="6" customWidth="1"/>
    <col min="5637" max="5637" width="3.140625" style="6" customWidth="1"/>
    <col min="5638" max="5638" width="4" style="6" customWidth="1"/>
    <col min="5639" max="5639" width="29.28515625" style="6" customWidth="1"/>
    <col min="5640" max="5640" width="11.28515625" style="6" customWidth="1"/>
    <col min="5641" max="5641" width="4" style="6" customWidth="1"/>
    <col min="5642" max="5642" width="7" style="6" customWidth="1"/>
    <col min="5643" max="5643" width="33.140625" style="6" customWidth="1"/>
    <col min="5644" max="5644" width="3.85546875" style="6" customWidth="1"/>
    <col min="5645" max="5645" width="5.42578125" style="6" customWidth="1"/>
    <col min="5646" max="5646" width="2.42578125" style="6" customWidth="1"/>
    <col min="5647" max="5888" width="9.140625" style="6"/>
    <col min="5889" max="5889" width="6.7109375" style="6" customWidth="1"/>
    <col min="5890" max="5890" width="3.28515625" style="6" customWidth="1"/>
    <col min="5891" max="5891" width="3.7109375" style="6" customWidth="1"/>
    <col min="5892" max="5892" width="5.28515625" style="6" customWidth="1"/>
    <col min="5893" max="5893" width="3.140625" style="6" customWidth="1"/>
    <col min="5894" max="5894" width="4" style="6" customWidth="1"/>
    <col min="5895" max="5895" width="29.28515625" style="6" customWidth="1"/>
    <col min="5896" max="5896" width="11.28515625" style="6" customWidth="1"/>
    <col min="5897" max="5897" width="4" style="6" customWidth="1"/>
    <col min="5898" max="5898" width="7" style="6" customWidth="1"/>
    <col min="5899" max="5899" width="33.140625" style="6" customWidth="1"/>
    <col min="5900" max="5900" width="3.85546875" style="6" customWidth="1"/>
    <col min="5901" max="5901" width="5.42578125" style="6" customWidth="1"/>
    <col min="5902" max="5902" width="2.42578125" style="6" customWidth="1"/>
    <col min="5903" max="6144" width="9.140625" style="6"/>
    <col min="6145" max="6145" width="6.7109375" style="6" customWidth="1"/>
    <col min="6146" max="6146" width="3.28515625" style="6" customWidth="1"/>
    <col min="6147" max="6147" width="3.7109375" style="6" customWidth="1"/>
    <col min="6148" max="6148" width="5.28515625" style="6" customWidth="1"/>
    <col min="6149" max="6149" width="3.140625" style="6" customWidth="1"/>
    <col min="6150" max="6150" width="4" style="6" customWidth="1"/>
    <col min="6151" max="6151" width="29.28515625" style="6" customWidth="1"/>
    <col min="6152" max="6152" width="11.28515625" style="6" customWidth="1"/>
    <col min="6153" max="6153" width="4" style="6" customWidth="1"/>
    <col min="6154" max="6154" width="7" style="6" customWidth="1"/>
    <col min="6155" max="6155" width="33.140625" style="6" customWidth="1"/>
    <col min="6156" max="6156" width="3.85546875" style="6" customWidth="1"/>
    <col min="6157" max="6157" width="5.42578125" style="6" customWidth="1"/>
    <col min="6158" max="6158" width="2.42578125" style="6" customWidth="1"/>
    <col min="6159" max="6400" width="9.140625" style="6"/>
    <col min="6401" max="6401" width="6.7109375" style="6" customWidth="1"/>
    <col min="6402" max="6402" width="3.28515625" style="6" customWidth="1"/>
    <col min="6403" max="6403" width="3.7109375" style="6" customWidth="1"/>
    <col min="6404" max="6404" width="5.28515625" style="6" customWidth="1"/>
    <col min="6405" max="6405" width="3.140625" style="6" customWidth="1"/>
    <col min="6406" max="6406" width="4" style="6" customWidth="1"/>
    <col min="6407" max="6407" width="29.28515625" style="6" customWidth="1"/>
    <col min="6408" max="6408" width="11.28515625" style="6" customWidth="1"/>
    <col min="6409" max="6409" width="4" style="6" customWidth="1"/>
    <col min="6410" max="6410" width="7" style="6" customWidth="1"/>
    <col min="6411" max="6411" width="33.140625" style="6" customWidth="1"/>
    <col min="6412" max="6412" width="3.85546875" style="6" customWidth="1"/>
    <col min="6413" max="6413" width="5.42578125" style="6" customWidth="1"/>
    <col min="6414" max="6414" width="2.42578125" style="6" customWidth="1"/>
    <col min="6415" max="6656" width="9.140625" style="6"/>
    <col min="6657" max="6657" width="6.7109375" style="6" customWidth="1"/>
    <col min="6658" max="6658" width="3.28515625" style="6" customWidth="1"/>
    <col min="6659" max="6659" width="3.7109375" style="6" customWidth="1"/>
    <col min="6660" max="6660" width="5.28515625" style="6" customWidth="1"/>
    <col min="6661" max="6661" width="3.140625" style="6" customWidth="1"/>
    <col min="6662" max="6662" width="4" style="6" customWidth="1"/>
    <col min="6663" max="6663" width="29.28515625" style="6" customWidth="1"/>
    <col min="6664" max="6664" width="11.28515625" style="6" customWidth="1"/>
    <col min="6665" max="6665" width="4" style="6" customWidth="1"/>
    <col min="6666" max="6666" width="7" style="6" customWidth="1"/>
    <col min="6667" max="6667" width="33.140625" style="6" customWidth="1"/>
    <col min="6668" max="6668" width="3.85546875" style="6" customWidth="1"/>
    <col min="6669" max="6669" width="5.42578125" style="6" customWidth="1"/>
    <col min="6670" max="6670" width="2.42578125" style="6" customWidth="1"/>
    <col min="6671" max="6912" width="9.140625" style="6"/>
    <col min="6913" max="6913" width="6.7109375" style="6" customWidth="1"/>
    <col min="6914" max="6914" width="3.28515625" style="6" customWidth="1"/>
    <col min="6915" max="6915" width="3.7109375" style="6" customWidth="1"/>
    <col min="6916" max="6916" width="5.28515625" style="6" customWidth="1"/>
    <col min="6917" max="6917" width="3.140625" style="6" customWidth="1"/>
    <col min="6918" max="6918" width="4" style="6" customWidth="1"/>
    <col min="6919" max="6919" width="29.28515625" style="6" customWidth="1"/>
    <col min="6920" max="6920" width="11.28515625" style="6" customWidth="1"/>
    <col min="6921" max="6921" width="4" style="6" customWidth="1"/>
    <col min="6922" max="6922" width="7" style="6" customWidth="1"/>
    <col min="6923" max="6923" width="33.140625" style="6" customWidth="1"/>
    <col min="6924" max="6924" width="3.85546875" style="6" customWidth="1"/>
    <col min="6925" max="6925" width="5.42578125" style="6" customWidth="1"/>
    <col min="6926" max="6926" width="2.42578125" style="6" customWidth="1"/>
    <col min="6927" max="7168" width="9.140625" style="6"/>
    <col min="7169" max="7169" width="6.7109375" style="6" customWidth="1"/>
    <col min="7170" max="7170" width="3.28515625" style="6" customWidth="1"/>
    <col min="7171" max="7171" width="3.7109375" style="6" customWidth="1"/>
    <col min="7172" max="7172" width="5.28515625" style="6" customWidth="1"/>
    <col min="7173" max="7173" width="3.140625" style="6" customWidth="1"/>
    <col min="7174" max="7174" width="4" style="6" customWidth="1"/>
    <col min="7175" max="7175" width="29.28515625" style="6" customWidth="1"/>
    <col min="7176" max="7176" width="11.28515625" style="6" customWidth="1"/>
    <col min="7177" max="7177" width="4" style="6" customWidth="1"/>
    <col min="7178" max="7178" width="7" style="6" customWidth="1"/>
    <col min="7179" max="7179" width="33.140625" style="6" customWidth="1"/>
    <col min="7180" max="7180" width="3.85546875" style="6" customWidth="1"/>
    <col min="7181" max="7181" width="5.42578125" style="6" customWidth="1"/>
    <col min="7182" max="7182" width="2.42578125" style="6" customWidth="1"/>
    <col min="7183" max="7424" width="9.140625" style="6"/>
    <col min="7425" max="7425" width="6.7109375" style="6" customWidth="1"/>
    <col min="7426" max="7426" width="3.28515625" style="6" customWidth="1"/>
    <col min="7427" max="7427" width="3.7109375" style="6" customWidth="1"/>
    <col min="7428" max="7428" width="5.28515625" style="6" customWidth="1"/>
    <col min="7429" max="7429" width="3.140625" style="6" customWidth="1"/>
    <col min="7430" max="7430" width="4" style="6" customWidth="1"/>
    <col min="7431" max="7431" width="29.28515625" style="6" customWidth="1"/>
    <col min="7432" max="7432" width="11.28515625" style="6" customWidth="1"/>
    <col min="7433" max="7433" width="4" style="6" customWidth="1"/>
    <col min="7434" max="7434" width="7" style="6" customWidth="1"/>
    <col min="7435" max="7435" width="33.140625" style="6" customWidth="1"/>
    <col min="7436" max="7436" width="3.85546875" style="6" customWidth="1"/>
    <col min="7437" max="7437" width="5.42578125" style="6" customWidth="1"/>
    <col min="7438" max="7438" width="2.42578125" style="6" customWidth="1"/>
    <col min="7439" max="7680" width="9.140625" style="6"/>
    <col min="7681" max="7681" width="6.7109375" style="6" customWidth="1"/>
    <col min="7682" max="7682" width="3.28515625" style="6" customWidth="1"/>
    <col min="7683" max="7683" width="3.7109375" style="6" customWidth="1"/>
    <col min="7684" max="7684" width="5.28515625" style="6" customWidth="1"/>
    <col min="7685" max="7685" width="3.140625" style="6" customWidth="1"/>
    <col min="7686" max="7686" width="4" style="6" customWidth="1"/>
    <col min="7687" max="7687" width="29.28515625" style="6" customWidth="1"/>
    <col min="7688" max="7688" width="11.28515625" style="6" customWidth="1"/>
    <col min="7689" max="7689" width="4" style="6" customWidth="1"/>
    <col min="7690" max="7690" width="7" style="6" customWidth="1"/>
    <col min="7691" max="7691" width="33.140625" style="6" customWidth="1"/>
    <col min="7692" max="7692" width="3.85546875" style="6" customWidth="1"/>
    <col min="7693" max="7693" width="5.42578125" style="6" customWidth="1"/>
    <col min="7694" max="7694" width="2.42578125" style="6" customWidth="1"/>
    <col min="7695" max="7936" width="9.140625" style="6"/>
    <col min="7937" max="7937" width="6.7109375" style="6" customWidth="1"/>
    <col min="7938" max="7938" width="3.28515625" style="6" customWidth="1"/>
    <col min="7939" max="7939" width="3.7109375" style="6" customWidth="1"/>
    <col min="7940" max="7940" width="5.28515625" style="6" customWidth="1"/>
    <col min="7941" max="7941" width="3.140625" style="6" customWidth="1"/>
    <col min="7942" max="7942" width="4" style="6" customWidth="1"/>
    <col min="7943" max="7943" width="29.28515625" style="6" customWidth="1"/>
    <col min="7944" max="7944" width="11.28515625" style="6" customWidth="1"/>
    <col min="7945" max="7945" width="4" style="6" customWidth="1"/>
    <col min="7946" max="7946" width="7" style="6" customWidth="1"/>
    <col min="7947" max="7947" width="33.140625" style="6" customWidth="1"/>
    <col min="7948" max="7948" width="3.85546875" style="6" customWidth="1"/>
    <col min="7949" max="7949" width="5.42578125" style="6" customWidth="1"/>
    <col min="7950" max="7950" width="2.42578125" style="6" customWidth="1"/>
    <col min="7951" max="8192" width="9.140625" style="6"/>
    <col min="8193" max="8193" width="6.7109375" style="6" customWidth="1"/>
    <col min="8194" max="8194" width="3.28515625" style="6" customWidth="1"/>
    <col min="8195" max="8195" width="3.7109375" style="6" customWidth="1"/>
    <col min="8196" max="8196" width="5.28515625" style="6" customWidth="1"/>
    <col min="8197" max="8197" width="3.140625" style="6" customWidth="1"/>
    <col min="8198" max="8198" width="4" style="6" customWidth="1"/>
    <col min="8199" max="8199" width="29.28515625" style="6" customWidth="1"/>
    <col min="8200" max="8200" width="11.28515625" style="6" customWidth="1"/>
    <col min="8201" max="8201" width="4" style="6" customWidth="1"/>
    <col min="8202" max="8202" width="7" style="6" customWidth="1"/>
    <col min="8203" max="8203" width="33.140625" style="6" customWidth="1"/>
    <col min="8204" max="8204" width="3.85546875" style="6" customWidth="1"/>
    <col min="8205" max="8205" width="5.42578125" style="6" customWidth="1"/>
    <col min="8206" max="8206" width="2.42578125" style="6" customWidth="1"/>
    <col min="8207" max="8448" width="9.140625" style="6"/>
    <col min="8449" max="8449" width="6.7109375" style="6" customWidth="1"/>
    <col min="8450" max="8450" width="3.28515625" style="6" customWidth="1"/>
    <col min="8451" max="8451" width="3.7109375" style="6" customWidth="1"/>
    <col min="8452" max="8452" width="5.28515625" style="6" customWidth="1"/>
    <col min="8453" max="8453" width="3.140625" style="6" customWidth="1"/>
    <col min="8454" max="8454" width="4" style="6" customWidth="1"/>
    <col min="8455" max="8455" width="29.28515625" style="6" customWidth="1"/>
    <col min="8456" max="8456" width="11.28515625" style="6" customWidth="1"/>
    <col min="8457" max="8457" width="4" style="6" customWidth="1"/>
    <col min="8458" max="8458" width="7" style="6" customWidth="1"/>
    <col min="8459" max="8459" width="33.140625" style="6" customWidth="1"/>
    <col min="8460" max="8460" width="3.85546875" style="6" customWidth="1"/>
    <col min="8461" max="8461" width="5.42578125" style="6" customWidth="1"/>
    <col min="8462" max="8462" width="2.42578125" style="6" customWidth="1"/>
    <col min="8463" max="8704" width="9.140625" style="6"/>
    <col min="8705" max="8705" width="6.7109375" style="6" customWidth="1"/>
    <col min="8706" max="8706" width="3.28515625" style="6" customWidth="1"/>
    <col min="8707" max="8707" width="3.7109375" style="6" customWidth="1"/>
    <col min="8708" max="8708" width="5.28515625" style="6" customWidth="1"/>
    <col min="8709" max="8709" width="3.140625" style="6" customWidth="1"/>
    <col min="8710" max="8710" width="4" style="6" customWidth="1"/>
    <col min="8711" max="8711" width="29.28515625" style="6" customWidth="1"/>
    <col min="8712" max="8712" width="11.28515625" style="6" customWidth="1"/>
    <col min="8713" max="8713" width="4" style="6" customWidth="1"/>
    <col min="8714" max="8714" width="7" style="6" customWidth="1"/>
    <col min="8715" max="8715" width="33.140625" style="6" customWidth="1"/>
    <col min="8716" max="8716" width="3.85546875" style="6" customWidth="1"/>
    <col min="8717" max="8717" width="5.42578125" style="6" customWidth="1"/>
    <col min="8718" max="8718" width="2.42578125" style="6" customWidth="1"/>
    <col min="8719" max="8960" width="9.140625" style="6"/>
    <col min="8961" max="8961" width="6.7109375" style="6" customWidth="1"/>
    <col min="8962" max="8962" width="3.28515625" style="6" customWidth="1"/>
    <col min="8963" max="8963" width="3.7109375" style="6" customWidth="1"/>
    <col min="8964" max="8964" width="5.28515625" style="6" customWidth="1"/>
    <col min="8965" max="8965" width="3.140625" style="6" customWidth="1"/>
    <col min="8966" max="8966" width="4" style="6" customWidth="1"/>
    <col min="8967" max="8967" width="29.28515625" style="6" customWidth="1"/>
    <col min="8968" max="8968" width="11.28515625" style="6" customWidth="1"/>
    <col min="8969" max="8969" width="4" style="6" customWidth="1"/>
    <col min="8970" max="8970" width="7" style="6" customWidth="1"/>
    <col min="8971" max="8971" width="33.140625" style="6" customWidth="1"/>
    <col min="8972" max="8972" width="3.85546875" style="6" customWidth="1"/>
    <col min="8973" max="8973" width="5.42578125" style="6" customWidth="1"/>
    <col min="8974" max="8974" width="2.42578125" style="6" customWidth="1"/>
    <col min="8975" max="9216" width="9.140625" style="6"/>
    <col min="9217" max="9217" width="6.7109375" style="6" customWidth="1"/>
    <col min="9218" max="9218" width="3.28515625" style="6" customWidth="1"/>
    <col min="9219" max="9219" width="3.7109375" style="6" customWidth="1"/>
    <col min="9220" max="9220" width="5.28515625" style="6" customWidth="1"/>
    <col min="9221" max="9221" width="3.140625" style="6" customWidth="1"/>
    <col min="9222" max="9222" width="4" style="6" customWidth="1"/>
    <col min="9223" max="9223" width="29.28515625" style="6" customWidth="1"/>
    <col min="9224" max="9224" width="11.28515625" style="6" customWidth="1"/>
    <col min="9225" max="9225" width="4" style="6" customWidth="1"/>
    <col min="9226" max="9226" width="7" style="6" customWidth="1"/>
    <col min="9227" max="9227" width="33.140625" style="6" customWidth="1"/>
    <col min="9228" max="9228" width="3.85546875" style="6" customWidth="1"/>
    <col min="9229" max="9229" width="5.42578125" style="6" customWidth="1"/>
    <col min="9230" max="9230" width="2.42578125" style="6" customWidth="1"/>
    <col min="9231" max="9472" width="9.140625" style="6"/>
    <col min="9473" max="9473" width="6.7109375" style="6" customWidth="1"/>
    <col min="9474" max="9474" width="3.28515625" style="6" customWidth="1"/>
    <col min="9475" max="9475" width="3.7109375" style="6" customWidth="1"/>
    <col min="9476" max="9476" width="5.28515625" style="6" customWidth="1"/>
    <col min="9477" max="9477" width="3.140625" style="6" customWidth="1"/>
    <col min="9478" max="9478" width="4" style="6" customWidth="1"/>
    <col min="9479" max="9479" width="29.28515625" style="6" customWidth="1"/>
    <col min="9480" max="9480" width="11.28515625" style="6" customWidth="1"/>
    <col min="9481" max="9481" width="4" style="6" customWidth="1"/>
    <col min="9482" max="9482" width="7" style="6" customWidth="1"/>
    <col min="9483" max="9483" width="33.140625" style="6" customWidth="1"/>
    <col min="9484" max="9484" width="3.85546875" style="6" customWidth="1"/>
    <col min="9485" max="9485" width="5.42578125" style="6" customWidth="1"/>
    <col min="9486" max="9486" width="2.42578125" style="6" customWidth="1"/>
    <col min="9487" max="9728" width="9.140625" style="6"/>
    <col min="9729" max="9729" width="6.7109375" style="6" customWidth="1"/>
    <col min="9730" max="9730" width="3.28515625" style="6" customWidth="1"/>
    <col min="9731" max="9731" width="3.7109375" style="6" customWidth="1"/>
    <col min="9732" max="9732" width="5.28515625" style="6" customWidth="1"/>
    <col min="9733" max="9733" width="3.140625" style="6" customWidth="1"/>
    <col min="9734" max="9734" width="4" style="6" customWidth="1"/>
    <col min="9735" max="9735" width="29.28515625" style="6" customWidth="1"/>
    <col min="9736" max="9736" width="11.28515625" style="6" customWidth="1"/>
    <col min="9737" max="9737" width="4" style="6" customWidth="1"/>
    <col min="9738" max="9738" width="7" style="6" customWidth="1"/>
    <col min="9739" max="9739" width="33.140625" style="6" customWidth="1"/>
    <col min="9740" max="9740" width="3.85546875" style="6" customWidth="1"/>
    <col min="9741" max="9741" width="5.42578125" style="6" customWidth="1"/>
    <col min="9742" max="9742" width="2.42578125" style="6" customWidth="1"/>
    <col min="9743" max="9984" width="9.140625" style="6"/>
    <col min="9985" max="9985" width="6.7109375" style="6" customWidth="1"/>
    <col min="9986" max="9986" width="3.28515625" style="6" customWidth="1"/>
    <col min="9987" max="9987" width="3.7109375" style="6" customWidth="1"/>
    <col min="9988" max="9988" width="5.28515625" style="6" customWidth="1"/>
    <col min="9989" max="9989" width="3.140625" style="6" customWidth="1"/>
    <col min="9990" max="9990" width="4" style="6" customWidth="1"/>
    <col min="9991" max="9991" width="29.28515625" style="6" customWidth="1"/>
    <col min="9992" max="9992" width="11.28515625" style="6" customWidth="1"/>
    <col min="9993" max="9993" width="4" style="6" customWidth="1"/>
    <col min="9994" max="9994" width="7" style="6" customWidth="1"/>
    <col min="9995" max="9995" width="33.140625" style="6" customWidth="1"/>
    <col min="9996" max="9996" width="3.85546875" style="6" customWidth="1"/>
    <col min="9997" max="9997" width="5.42578125" style="6" customWidth="1"/>
    <col min="9998" max="9998" width="2.42578125" style="6" customWidth="1"/>
    <col min="9999" max="10240" width="9.140625" style="6"/>
    <col min="10241" max="10241" width="6.7109375" style="6" customWidth="1"/>
    <col min="10242" max="10242" width="3.28515625" style="6" customWidth="1"/>
    <col min="10243" max="10243" width="3.7109375" style="6" customWidth="1"/>
    <col min="10244" max="10244" width="5.28515625" style="6" customWidth="1"/>
    <col min="10245" max="10245" width="3.140625" style="6" customWidth="1"/>
    <col min="10246" max="10246" width="4" style="6" customWidth="1"/>
    <col min="10247" max="10247" width="29.28515625" style="6" customWidth="1"/>
    <col min="10248" max="10248" width="11.28515625" style="6" customWidth="1"/>
    <col min="10249" max="10249" width="4" style="6" customWidth="1"/>
    <col min="10250" max="10250" width="7" style="6" customWidth="1"/>
    <col min="10251" max="10251" width="33.140625" style="6" customWidth="1"/>
    <col min="10252" max="10252" width="3.85546875" style="6" customWidth="1"/>
    <col min="10253" max="10253" width="5.42578125" style="6" customWidth="1"/>
    <col min="10254" max="10254" width="2.42578125" style="6" customWidth="1"/>
    <col min="10255" max="10496" width="9.140625" style="6"/>
    <col min="10497" max="10497" width="6.7109375" style="6" customWidth="1"/>
    <col min="10498" max="10498" width="3.28515625" style="6" customWidth="1"/>
    <col min="10499" max="10499" width="3.7109375" style="6" customWidth="1"/>
    <col min="10500" max="10500" width="5.28515625" style="6" customWidth="1"/>
    <col min="10501" max="10501" width="3.140625" style="6" customWidth="1"/>
    <col min="10502" max="10502" width="4" style="6" customWidth="1"/>
    <col min="10503" max="10503" width="29.28515625" style="6" customWidth="1"/>
    <col min="10504" max="10504" width="11.28515625" style="6" customWidth="1"/>
    <col min="10505" max="10505" width="4" style="6" customWidth="1"/>
    <col min="10506" max="10506" width="7" style="6" customWidth="1"/>
    <col min="10507" max="10507" width="33.140625" style="6" customWidth="1"/>
    <col min="10508" max="10508" width="3.85546875" style="6" customWidth="1"/>
    <col min="10509" max="10509" width="5.42578125" style="6" customWidth="1"/>
    <col min="10510" max="10510" width="2.42578125" style="6" customWidth="1"/>
    <col min="10511" max="10752" width="9.140625" style="6"/>
    <col min="10753" max="10753" width="6.7109375" style="6" customWidth="1"/>
    <col min="10754" max="10754" width="3.28515625" style="6" customWidth="1"/>
    <col min="10755" max="10755" width="3.7109375" style="6" customWidth="1"/>
    <col min="10756" max="10756" width="5.28515625" style="6" customWidth="1"/>
    <col min="10757" max="10757" width="3.140625" style="6" customWidth="1"/>
    <col min="10758" max="10758" width="4" style="6" customWidth="1"/>
    <col min="10759" max="10759" width="29.28515625" style="6" customWidth="1"/>
    <col min="10760" max="10760" width="11.28515625" style="6" customWidth="1"/>
    <col min="10761" max="10761" width="4" style="6" customWidth="1"/>
    <col min="10762" max="10762" width="7" style="6" customWidth="1"/>
    <col min="10763" max="10763" width="33.140625" style="6" customWidth="1"/>
    <col min="10764" max="10764" width="3.85546875" style="6" customWidth="1"/>
    <col min="10765" max="10765" width="5.42578125" style="6" customWidth="1"/>
    <col min="10766" max="10766" width="2.42578125" style="6" customWidth="1"/>
    <col min="10767" max="11008" width="9.140625" style="6"/>
    <col min="11009" max="11009" width="6.7109375" style="6" customWidth="1"/>
    <col min="11010" max="11010" width="3.28515625" style="6" customWidth="1"/>
    <col min="11011" max="11011" width="3.7109375" style="6" customWidth="1"/>
    <col min="11012" max="11012" width="5.28515625" style="6" customWidth="1"/>
    <col min="11013" max="11013" width="3.140625" style="6" customWidth="1"/>
    <col min="11014" max="11014" width="4" style="6" customWidth="1"/>
    <col min="11015" max="11015" width="29.28515625" style="6" customWidth="1"/>
    <col min="11016" max="11016" width="11.28515625" style="6" customWidth="1"/>
    <col min="11017" max="11017" width="4" style="6" customWidth="1"/>
    <col min="11018" max="11018" width="7" style="6" customWidth="1"/>
    <col min="11019" max="11019" width="33.140625" style="6" customWidth="1"/>
    <col min="11020" max="11020" width="3.85546875" style="6" customWidth="1"/>
    <col min="11021" max="11021" width="5.42578125" style="6" customWidth="1"/>
    <col min="11022" max="11022" width="2.42578125" style="6" customWidth="1"/>
    <col min="11023" max="11264" width="9.140625" style="6"/>
    <col min="11265" max="11265" width="6.7109375" style="6" customWidth="1"/>
    <col min="11266" max="11266" width="3.28515625" style="6" customWidth="1"/>
    <col min="11267" max="11267" width="3.7109375" style="6" customWidth="1"/>
    <col min="11268" max="11268" width="5.28515625" style="6" customWidth="1"/>
    <col min="11269" max="11269" width="3.140625" style="6" customWidth="1"/>
    <col min="11270" max="11270" width="4" style="6" customWidth="1"/>
    <col min="11271" max="11271" width="29.28515625" style="6" customWidth="1"/>
    <col min="11272" max="11272" width="11.28515625" style="6" customWidth="1"/>
    <col min="11273" max="11273" width="4" style="6" customWidth="1"/>
    <col min="11274" max="11274" width="7" style="6" customWidth="1"/>
    <col min="11275" max="11275" width="33.140625" style="6" customWidth="1"/>
    <col min="11276" max="11276" width="3.85546875" style="6" customWidth="1"/>
    <col min="11277" max="11277" width="5.42578125" style="6" customWidth="1"/>
    <col min="11278" max="11278" width="2.42578125" style="6" customWidth="1"/>
    <col min="11279" max="11520" width="9.140625" style="6"/>
    <col min="11521" max="11521" width="6.7109375" style="6" customWidth="1"/>
    <col min="11522" max="11522" width="3.28515625" style="6" customWidth="1"/>
    <col min="11523" max="11523" width="3.7109375" style="6" customWidth="1"/>
    <col min="11524" max="11524" width="5.28515625" style="6" customWidth="1"/>
    <col min="11525" max="11525" width="3.140625" style="6" customWidth="1"/>
    <col min="11526" max="11526" width="4" style="6" customWidth="1"/>
    <col min="11527" max="11527" width="29.28515625" style="6" customWidth="1"/>
    <col min="11528" max="11528" width="11.28515625" style="6" customWidth="1"/>
    <col min="11529" max="11529" width="4" style="6" customWidth="1"/>
    <col min="11530" max="11530" width="7" style="6" customWidth="1"/>
    <col min="11531" max="11531" width="33.140625" style="6" customWidth="1"/>
    <col min="11532" max="11532" width="3.85546875" style="6" customWidth="1"/>
    <col min="11533" max="11533" width="5.42578125" style="6" customWidth="1"/>
    <col min="11534" max="11534" width="2.42578125" style="6" customWidth="1"/>
    <col min="11535" max="11776" width="9.140625" style="6"/>
    <col min="11777" max="11777" width="6.7109375" style="6" customWidth="1"/>
    <col min="11778" max="11778" width="3.28515625" style="6" customWidth="1"/>
    <col min="11779" max="11779" width="3.7109375" style="6" customWidth="1"/>
    <col min="11780" max="11780" width="5.28515625" style="6" customWidth="1"/>
    <col min="11781" max="11781" width="3.140625" style="6" customWidth="1"/>
    <col min="11782" max="11782" width="4" style="6" customWidth="1"/>
    <col min="11783" max="11783" width="29.28515625" style="6" customWidth="1"/>
    <col min="11784" max="11784" width="11.28515625" style="6" customWidth="1"/>
    <col min="11785" max="11785" width="4" style="6" customWidth="1"/>
    <col min="11786" max="11786" width="7" style="6" customWidth="1"/>
    <col min="11787" max="11787" width="33.140625" style="6" customWidth="1"/>
    <col min="11788" max="11788" width="3.85546875" style="6" customWidth="1"/>
    <col min="11789" max="11789" width="5.42578125" style="6" customWidth="1"/>
    <col min="11790" max="11790" width="2.42578125" style="6" customWidth="1"/>
    <col min="11791" max="12032" width="9.140625" style="6"/>
    <col min="12033" max="12033" width="6.7109375" style="6" customWidth="1"/>
    <col min="12034" max="12034" width="3.28515625" style="6" customWidth="1"/>
    <col min="12035" max="12035" width="3.7109375" style="6" customWidth="1"/>
    <col min="12036" max="12036" width="5.28515625" style="6" customWidth="1"/>
    <col min="12037" max="12037" width="3.140625" style="6" customWidth="1"/>
    <col min="12038" max="12038" width="4" style="6" customWidth="1"/>
    <col min="12039" max="12039" width="29.28515625" style="6" customWidth="1"/>
    <col min="12040" max="12040" width="11.28515625" style="6" customWidth="1"/>
    <col min="12041" max="12041" width="4" style="6" customWidth="1"/>
    <col min="12042" max="12042" width="7" style="6" customWidth="1"/>
    <col min="12043" max="12043" width="33.140625" style="6" customWidth="1"/>
    <col min="12044" max="12044" width="3.85546875" style="6" customWidth="1"/>
    <col min="12045" max="12045" width="5.42578125" style="6" customWidth="1"/>
    <col min="12046" max="12046" width="2.42578125" style="6" customWidth="1"/>
    <col min="12047" max="12288" width="9.140625" style="6"/>
    <col min="12289" max="12289" width="6.7109375" style="6" customWidth="1"/>
    <col min="12290" max="12290" width="3.28515625" style="6" customWidth="1"/>
    <col min="12291" max="12291" width="3.7109375" style="6" customWidth="1"/>
    <col min="12292" max="12292" width="5.28515625" style="6" customWidth="1"/>
    <col min="12293" max="12293" width="3.140625" style="6" customWidth="1"/>
    <col min="12294" max="12294" width="4" style="6" customWidth="1"/>
    <col min="12295" max="12295" width="29.28515625" style="6" customWidth="1"/>
    <col min="12296" max="12296" width="11.28515625" style="6" customWidth="1"/>
    <col min="12297" max="12297" width="4" style="6" customWidth="1"/>
    <col min="12298" max="12298" width="7" style="6" customWidth="1"/>
    <col min="12299" max="12299" width="33.140625" style="6" customWidth="1"/>
    <col min="12300" max="12300" width="3.85546875" style="6" customWidth="1"/>
    <col min="12301" max="12301" width="5.42578125" style="6" customWidth="1"/>
    <col min="12302" max="12302" width="2.42578125" style="6" customWidth="1"/>
    <col min="12303" max="12544" width="9.140625" style="6"/>
    <col min="12545" max="12545" width="6.7109375" style="6" customWidth="1"/>
    <col min="12546" max="12546" width="3.28515625" style="6" customWidth="1"/>
    <col min="12547" max="12547" width="3.7109375" style="6" customWidth="1"/>
    <col min="12548" max="12548" width="5.28515625" style="6" customWidth="1"/>
    <col min="12549" max="12549" width="3.140625" style="6" customWidth="1"/>
    <col min="12550" max="12550" width="4" style="6" customWidth="1"/>
    <col min="12551" max="12551" width="29.28515625" style="6" customWidth="1"/>
    <col min="12552" max="12552" width="11.28515625" style="6" customWidth="1"/>
    <col min="12553" max="12553" width="4" style="6" customWidth="1"/>
    <col min="12554" max="12554" width="7" style="6" customWidth="1"/>
    <col min="12555" max="12555" width="33.140625" style="6" customWidth="1"/>
    <col min="12556" max="12556" width="3.85546875" style="6" customWidth="1"/>
    <col min="12557" max="12557" width="5.42578125" style="6" customWidth="1"/>
    <col min="12558" max="12558" width="2.42578125" style="6" customWidth="1"/>
    <col min="12559" max="12800" width="9.140625" style="6"/>
    <col min="12801" max="12801" width="6.7109375" style="6" customWidth="1"/>
    <col min="12802" max="12802" width="3.28515625" style="6" customWidth="1"/>
    <col min="12803" max="12803" width="3.7109375" style="6" customWidth="1"/>
    <col min="12804" max="12804" width="5.28515625" style="6" customWidth="1"/>
    <col min="12805" max="12805" width="3.140625" style="6" customWidth="1"/>
    <col min="12806" max="12806" width="4" style="6" customWidth="1"/>
    <col min="12807" max="12807" width="29.28515625" style="6" customWidth="1"/>
    <col min="12808" max="12808" width="11.28515625" style="6" customWidth="1"/>
    <col min="12809" max="12809" width="4" style="6" customWidth="1"/>
    <col min="12810" max="12810" width="7" style="6" customWidth="1"/>
    <col min="12811" max="12811" width="33.140625" style="6" customWidth="1"/>
    <col min="12812" max="12812" width="3.85546875" style="6" customWidth="1"/>
    <col min="12813" max="12813" width="5.42578125" style="6" customWidth="1"/>
    <col min="12814" max="12814" width="2.42578125" style="6" customWidth="1"/>
    <col min="12815" max="13056" width="9.140625" style="6"/>
    <col min="13057" max="13057" width="6.7109375" style="6" customWidth="1"/>
    <col min="13058" max="13058" width="3.28515625" style="6" customWidth="1"/>
    <col min="13059" max="13059" width="3.7109375" style="6" customWidth="1"/>
    <col min="13060" max="13060" width="5.28515625" style="6" customWidth="1"/>
    <col min="13061" max="13061" width="3.140625" style="6" customWidth="1"/>
    <col min="13062" max="13062" width="4" style="6" customWidth="1"/>
    <col min="13063" max="13063" width="29.28515625" style="6" customWidth="1"/>
    <col min="13064" max="13064" width="11.28515625" style="6" customWidth="1"/>
    <col min="13065" max="13065" width="4" style="6" customWidth="1"/>
    <col min="13066" max="13066" width="7" style="6" customWidth="1"/>
    <col min="13067" max="13067" width="33.140625" style="6" customWidth="1"/>
    <col min="13068" max="13068" width="3.85546875" style="6" customWidth="1"/>
    <col min="13069" max="13069" width="5.42578125" style="6" customWidth="1"/>
    <col min="13070" max="13070" width="2.42578125" style="6" customWidth="1"/>
    <col min="13071" max="13312" width="9.140625" style="6"/>
    <col min="13313" max="13313" width="6.7109375" style="6" customWidth="1"/>
    <col min="13314" max="13314" width="3.28515625" style="6" customWidth="1"/>
    <col min="13315" max="13315" width="3.7109375" style="6" customWidth="1"/>
    <col min="13316" max="13316" width="5.28515625" style="6" customWidth="1"/>
    <col min="13317" max="13317" width="3.140625" style="6" customWidth="1"/>
    <col min="13318" max="13318" width="4" style="6" customWidth="1"/>
    <col min="13319" max="13319" width="29.28515625" style="6" customWidth="1"/>
    <col min="13320" max="13320" width="11.28515625" style="6" customWidth="1"/>
    <col min="13321" max="13321" width="4" style="6" customWidth="1"/>
    <col min="13322" max="13322" width="7" style="6" customWidth="1"/>
    <col min="13323" max="13323" width="33.140625" style="6" customWidth="1"/>
    <col min="13324" max="13324" width="3.85546875" style="6" customWidth="1"/>
    <col min="13325" max="13325" width="5.42578125" style="6" customWidth="1"/>
    <col min="13326" max="13326" width="2.42578125" style="6" customWidth="1"/>
    <col min="13327" max="13568" width="9.140625" style="6"/>
    <col min="13569" max="13569" width="6.7109375" style="6" customWidth="1"/>
    <col min="13570" max="13570" width="3.28515625" style="6" customWidth="1"/>
    <col min="13571" max="13571" width="3.7109375" style="6" customWidth="1"/>
    <col min="13572" max="13572" width="5.28515625" style="6" customWidth="1"/>
    <col min="13573" max="13573" width="3.140625" style="6" customWidth="1"/>
    <col min="13574" max="13574" width="4" style="6" customWidth="1"/>
    <col min="13575" max="13575" width="29.28515625" style="6" customWidth="1"/>
    <col min="13576" max="13576" width="11.28515625" style="6" customWidth="1"/>
    <col min="13577" max="13577" width="4" style="6" customWidth="1"/>
    <col min="13578" max="13578" width="7" style="6" customWidth="1"/>
    <col min="13579" max="13579" width="33.140625" style="6" customWidth="1"/>
    <col min="13580" max="13580" width="3.85546875" style="6" customWidth="1"/>
    <col min="13581" max="13581" width="5.42578125" style="6" customWidth="1"/>
    <col min="13582" max="13582" width="2.42578125" style="6" customWidth="1"/>
    <col min="13583" max="13824" width="9.140625" style="6"/>
    <col min="13825" max="13825" width="6.7109375" style="6" customWidth="1"/>
    <col min="13826" max="13826" width="3.28515625" style="6" customWidth="1"/>
    <col min="13827" max="13827" width="3.7109375" style="6" customWidth="1"/>
    <col min="13828" max="13828" width="5.28515625" style="6" customWidth="1"/>
    <col min="13829" max="13829" width="3.140625" style="6" customWidth="1"/>
    <col min="13830" max="13830" width="4" style="6" customWidth="1"/>
    <col min="13831" max="13831" width="29.28515625" style="6" customWidth="1"/>
    <col min="13832" max="13832" width="11.28515625" style="6" customWidth="1"/>
    <col min="13833" max="13833" width="4" style="6" customWidth="1"/>
    <col min="13834" max="13834" width="7" style="6" customWidth="1"/>
    <col min="13835" max="13835" width="33.140625" style="6" customWidth="1"/>
    <col min="13836" max="13836" width="3.85546875" style="6" customWidth="1"/>
    <col min="13837" max="13837" width="5.42578125" style="6" customWidth="1"/>
    <col min="13838" max="13838" width="2.42578125" style="6" customWidth="1"/>
    <col min="13839" max="14080" width="9.140625" style="6"/>
    <col min="14081" max="14081" width="6.7109375" style="6" customWidth="1"/>
    <col min="14082" max="14082" width="3.28515625" style="6" customWidth="1"/>
    <col min="14083" max="14083" width="3.7109375" style="6" customWidth="1"/>
    <col min="14084" max="14084" width="5.28515625" style="6" customWidth="1"/>
    <col min="14085" max="14085" width="3.140625" style="6" customWidth="1"/>
    <col min="14086" max="14086" width="4" style="6" customWidth="1"/>
    <col min="14087" max="14087" width="29.28515625" style="6" customWidth="1"/>
    <col min="14088" max="14088" width="11.28515625" style="6" customWidth="1"/>
    <col min="14089" max="14089" width="4" style="6" customWidth="1"/>
    <col min="14090" max="14090" width="7" style="6" customWidth="1"/>
    <col min="14091" max="14091" width="33.140625" style="6" customWidth="1"/>
    <col min="14092" max="14092" width="3.85546875" style="6" customWidth="1"/>
    <col min="14093" max="14093" width="5.42578125" style="6" customWidth="1"/>
    <col min="14094" max="14094" width="2.42578125" style="6" customWidth="1"/>
    <col min="14095" max="14336" width="9.140625" style="6"/>
    <col min="14337" max="14337" width="6.7109375" style="6" customWidth="1"/>
    <col min="14338" max="14338" width="3.28515625" style="6" customWidth="1"/>
    <col min="14339" max="14339" width="3.7109375" style="6" customWidth="1"/>
    <col min="14340" max="14340" width="5.28515625" style="6" customWidth="1"/>
    <col min="14341" max="14341" width="3.140625" style="6" customWidth="1"/>
    <col min="14342" max="14342" width="4" style="6" customWidth="1"/>
    <col min="14343" max="14343" width="29.28515625" style="6" customWidth="1"/>
    <col min="14344" max="14344" width="11.28515625" style="6" customWidth="1"/>
    <col min="14345" max="14345" width="4" style="6" customWidth="1"/>
    <col min="14346" max="14346" width="7" style="6" customWidth="1"/>
    <col min="14347" max="14347" width="33.140625" style="6" customWidth="1"/>
    <col min="14348" max="14348" width="3.85546875" style="6" customWidth="1"/>
    <col min="14349" max="14349" width="5.42578125" style="6" customWidth="1"/>
    <col min="14350" max="14350" width="2.42578125" style="6" customWidth="1"/>
    <col min="14351" max="14592" width="9.140625" style="6"/>
    <col min="14593" max="14593" width="6.7109375" style="6" customWidth="1"/>
    <col min="14594" max="14594" width="3.28515625" style="6" customWidth="1"/>
    <col min="14595" max="14595" width="3.7109375" style="6" customWidth="1"/>
    <col min="14596" max="14596" width="5.28515625" style="6" customWidth="1"/>
    <col min="14597" max="14597" width="3.140625" style="6" customWidth="1"/>
    <col min="14598" max="14598" width="4" style="6" customWidth="1"/>
    <col min="14599" max="14599" width="29.28515625" style="6" customWidth="1"/>
    <col min="14600" max="14600" width="11.28515625" style="6" customWidth="1"/>
    <col min="14601" max="14601" width="4" style="6" customWidth="1"/>
    <col min="14602" max="14602" width="7" style="6" customWidth="1"/>
    <col min="14603" max="14603" width="33.140625" style="6" customWidth="1"/>
    <col min="14604" max="14604" width="3.85546875" style="6" customWidth="1"/>
    <col min="14605" max="14605" width="5.42578125" style="6" customWidth="1"/>
    <col min="14606" max="14606" width="2.42578125" style="6" customWidth="1"/>
    <col min="14607" max="14848" width="9.140625" style="6"/>
    <col min="14849" max="14849" width="6.7109375" style="6" customWidth="1"/>
    <col min="14850" max="14850" width="3.28515625" style="6" customWidth="1"/>
    <col min="14851" max="14851" width="3.7109375" style="6" customWidth="1"/>
    <col min="14852" max="14852" width="5.28515625" style="6" customWidth="1"/>
    <col min="14853" max="14853" width="3.140625" style="6" customWidth="1"/>
    <col min="14854" max="14854" width="4" style="6" customWidth="1"/>
    <col min="14855" max="14855" width="29.28515625" style="6" customWidth="1"/>
    <col min="14856" max="14856" width="11.28515625" style="6" customWidth="1"/>
    <col min="14857" max="14857" width="4" style="6" customWidth="1"/>
    <col min="14858" max="14858" width="7" style="6" customWidth="1"/>
    <col min="14859" max="14859" width="33.140625" style="6" customWidth="1"/>
    <col min="14860" max="14860" width="3.85546875" style="6" customWidth="1"/>
    <col min="14861" max="14861" width="5.42578125" style="6" customWidth="1"/>
    <col min="14862" max="14862" width="2.42578125" style="6" customWidth="1"/>
    <col min="14863" max="15104" width="9.140625" style="6"/>
    <col min="15105" max="15105" width="6.7109375" style="6" customWidth="1"/>
    <col min="15106" max="15106" width="3.28515625" style="6" customWidth="1"/>
    <col min="15107" max="15107" width="3.7109375" style="6" customWidth="1"/>
    <col min="15108" max="15108" width="5.28515625" style="6" customWidth="1"/>
    <col min="15109" max="15109" width="3.140625" style="6" customWidth="1"/>
    <col min="15110" max="15110" width="4" style="6" customWidth="1"/>
    <col min="15111" max="15111" width="29.28515625" style="6" customWidth="1"/>
    <col min="15112" max="15112" width="11.28515625" style="6" customWidth="1"/>
    <col min="15113" max="15113" width="4" style="6" customWidth="1"/>
    <col min="15114" max="15114" width="7" style="6" customWidth="1"/>
    <col min="15115" max="15115" width="33.140625" style="6" customWidth="1"/>
    <col min="15116" max="15116" width="3.85546875" style="6" customWidth="1"/>
    <col min="15117" max="15117" width="5.42578125" style="6" customWidth="1"/>
    <col min="15118" max="15118" width="2.42578125" style="6" customWidth="1"/>
    <col min="15119" max="15360" width="9.140625" style="6"/>
    <col min="15361" max="15361" width="6.7109375" style="6" customWidth="1"/>
    <col min="15362" max="15362" width="3.28515625" style="6" customWidth="1"/>
    <col min="15363" max="15363" width="3.7109375" style="6" customWidth="1"/>
    <col min="15364" max="15364" width="5.28515625" style="6" customWidth="1"/>
    <col min="15365" max="15365" width="3.140625" style="6" customWidth="1"/>
    <col min="15366" max="15366" width="4" style="6" customWidth="1"/>
    <col min="15367" max="15367" width="29.28515625" style="6" customWidth="1"/>
    <col min="15368" max="15368" width="11.28515625" style="6" customWidth="1"/>
    <col min="15369" max="15369" width="4" style="6" customWidth="1"/>
    <col min="15370" max="15370" width="7" style="6" customWidth="1"/>
    <col min="15371" max="15371" width="33.140625" style="6" customWidth="1"/>
    <col min="15372" max="15372" width="3.85546875" style="6" customWidth="1"/>
    <col min="15373" max="15373" width="5.42578125" style="6" customWidth="1"/>
    <col min="15374" max="15374" width="2.42578125" style="6" customWidth="1"/>
    <col min="15375" max="15616" width="9.140625" style="6"/>
    <col min="15617" max="15617" width="6.7109375" style="6" customWidth="1"/>
    <col min="15618" max="15618" width="3.28515625" style="6" customWidth="1"/>
    <col min="15619" max="15619" width="3.7109375" style="6" customWidth="1"/>
    <col min="15620" max="15620" width="5.28515625" style="6" customWidth="1"/>
    <col min="15621" max="15621" width="3.140625" style="6" customWidth="1"/>
    <col min="15622" max="15622" width="4" style="6" customWidth="1"/>
    <col min="15623" max="15623" width="29.28515625" style="6" customWidth="1"/>
    <col min="15624" max="15624" width="11.28515625" style="6" customWidth="1"/>
    <col min="15625" max="15625" width="4" style="6" customWidth="1"/>
    <col min="15626" max="15626" width="7" style="6" customWidth="1"/>
    <col min="15627" max="15627" width="33.140625" style="6" customWidth="1"/>
    <col min="15628" max="15628" width="3.85546875" style="6" customWidth="1"/>
    <col min="15629" max="15629" width="5.42578125" style="6" customWidth="1"/>
    <col min="15630" max="15630" width="2.42578125" style="6" customWidth="1"/>
    <col min="15631" max="15872" width="9.140625" style="6"/>
    <col min="15873" max="15873" width="6.7109375" style="6" customWidth="1"/>
    <col min="15874" max="15874" width="3.28515625" style="6" customWidth="1"/>
    <col min="15875" max="15875" width="3.7109375" style="6" customWidth="1"/>
    <col min="15876" max="15876" width="5.28515625" style="6" customWidth="1"/>
    <col min="15877" max="15877" width="3.140625" style="6" customWidth="1"/>
    <col min="15878" max="15878" width="4" style="6" customWidth="1"/>
    <col min="15879" max="15879" width="29.28515625" style="6" customWidth="1"/>
    <col min="15880" max="15880" width="11.28515625" style="6" customWidth="1"/>
    <col min="15881" max="15881" width="4" style="6" customWidth="1"/>
    <col min="15882" max="15882" width="7" style="6" customWidth="1"/>
    <col min="15883" max="15883" width="33.140625" style="6" customWidth="1"/>
    <col min="15884" max="15884" width="3.85546875" style="6" customWidth="1"/>
    <col min="15885" max="15885" width="5.42578125" style="6" customWidth="1"/>
    <col min="15886" max="15886" width="2.42578125" style="6" customWidth="1"/>
    <col min="15887" max="16128" width="9.140625" style="6"/>
    <col min="16129" max="16129" width="6.7109375" style="6" customWidth="1"/>
    <col min="16130" max="16130" width="3.28515625" style="6" customWidth="1"/>
    <col min="16131" max="16131" width="3.7109375" style="6" customWidth="1"/>
    <col min="16132" max="16132" width="5.28515625" style="6" customWidth="1"/>
    <col min="16133" max="16133" width="3.140625" style="6" customWidth="1"/>
    <col min="16134" max="16134" width="4" style="6" customWidth="1"/>
    <col min="16135" max="16135" width="29.28515625" style="6" customWidth="1"/>
    <col min="16136" max="16136" width="11.28515625" style="6" customWidth="1"/>
    <col min="16137" max="16137" width="4" style="6" customWidth="1"/>
    <col min="16138" max="16138" width="7" style="6" customWidth="1"/>
    <col min="16139" max="16139" width="33.140625" style="6" customWidth="1"/>
    <col min="16140" max="16140" width="3.85546875" style="6" customWidth="1"/>
    <col min="16141" max="16141" width="5.42578125" style="6" customWidth="1"/>
    <col min="16142" max="16142" width="2.42578125" style="6" customWidth="1"/>
    <col min="16143" max="16384" width="9.140625" style="6"/>
  </cols>
  <sheetData>
    <row r="1" spans="1:14" ht="18" customHeight="1" x14ac:dyDescent="0.25">
      <c r="A1" s="3"/>
      <c r="B1" s="3"/>
      <c r="C1" s="3"/>
      <c r="D1" s="3"/>
      <c r="E1" s="3"/>
      <c r="F1" s="3"/>
      <c r="G1" s="4"/>
      <c r="H1" s="3" t="s">
        <v>85</v>
      </c>
      <c r="I1" s="3"/>
      <c r="J1" s="3"/>
      <c r="K1" s="3"/>
      <c r="L1" s="5"/>
      <c r="M1" s="5"/>
    </row>
    <row r="2" spans="1:14" ht="18" customHeight="1" x14ac:dyDescent="0.25">
      <c r="B2" s="5"/>
      <c r="C2" s="5"/>
      <c r="D2" s="5"/>
      <c r="E2" s="5"/>
      <c r="F2" s="5"/>
      <c r="H2" s="3" t="s">
        <v>86</v>
      </c>
      <c r="I2" s="5"/>
      <c r="J2" s="5"/>
      <c r="K2" s="5"/>
      <c r="L2" s="5"/>
      <c r="M2" s="5"/>
    </row>
    <row r="3" spans="1:14" ht="18" customHeight="1" x14ac:dyDescent="0.25">
      <c r="B3" s="7"/>
      <c r="C3" s="7"/>
      <c r="D3" s="7"/>
      <c r="E3" s="7"/>
      <c r="F3" s="7"/>
      <c r="H3" s="2" t="s">
        <v>87</v>
      </c>
      <c r="I3" s="7"/>
      <c r="J3" s="7"/>
      <c r="K3" s="7"/>
      <c r="L3" s="7"/>
      <c r="M3" s="7"/>
    </row>
    <row r="4" spans="1:14" ht="18" customHeight="1" x14ac:dyDescent="0.2">
      <c r="B4" s="5"/>
      <c r="C4" s="5"/>
      <c r="D4" s="5"/>
      <c r="E4" s="5"/>
      <c r="F4" s="5"/>
      <c r="H4" s="3" t="s">
        <v>88</v>
      </c>
      <c r="I4" s="5"/>
      <c r="J4" s="5"/>
      <c r="K4" s="5"/>
      <c r="L4" s="5"/>
      <c r="M4" s="5"/>
    </row>
    <row r="5" spans="1:14" ht="18" customHeight="1" x14ac:dyDescent="0.25">
      <c r="B5" s="5"/>
      <c r="C5" s="5"/>
      <c r="D5" s="5"/>
      <c r="E5" s="5"/>
      <c r="F5" s="5"/>
      <c r="H5" s="3" t="s">
        <v>89</v>
      </c>
      <c r="I5" s="5"/>
      <c r="J5" s="5"/>
      <c r="K5" s="5"/>
      <c r="L5" s="5"/>
      <c r="M5" s="5"/>
    </row>
    <row r="6" spans="1:14" ht="18" customHeight="1" x14ac:dyDescent="0.25">
      <c r="B6" s="8"/>
      <c r="C6" s="8"/>
      <c r="D6" s="8"/>
      <c r="E6" s="8"/>
      <c r="F6" s="8"/>
      <c r="H6" s="9" t="s">
        <v>90</v>
      </c>
      <c r="I6" s="8"/>
      <c r="J6" s="8"/>
      <c r="K6" s="8"/>
      <c r="L6" s="10"/>
      <c r="M6" s="10"/>
    </row>
    <row r="7" spans="1:14" ht="18" customHeight="1" thickBot="1" x14ac:dyDescent="0.3">
      <c r="A7" s="11"/>
      <c r="B7" s="11"/>
      <c r="C7" s="11"/>
      <c r="D7" s="11"/>
      <c r="E7" s="11"/>
      <c r="F7" s="11"/>
      <c r="G7" s="12"/>
      <c r="H7" s="12"/>
      <c r="I7" s="12"/>
      <c r="J7" s="12"/>
      <c r="K7" s="12"/>
      <c r="L7" s="10"/>
      <c r="M7" s="10"/>
    </row>
    <row r="8" spans="1:14" ht="18" customHeight="1" x14ac:dyDescent="0.25">
      <c r="G8" s="13"/>
      <c r="H8" s="13"/>
      <c r="I8" s="13"/>
      <c r="J8" s="13"/>
      <c r="K8" s="13"/>
      <c r="L8" s="10"/>
      <c r="M8" s="10"/>
    </row>
    <row r="9" spans="1:14" ht="18" customHeight="1" x14ac:dyDescent="0.35">
      <c r="A9" s="271" t="s">
        <v>91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14"/>
    </row>
    <row r="12" spans="1:14" ht="18" customHeight="1" x14ac:dyDescent="0.35">
      <c r="K12" s="6" t="s">
        <v>2</v>
      </c>
    </row>
    <row r="13" spans="1:14" ht="18" customHeight="1" x14ac:dyDescent="0.35">
      <c r="B13" s="6" t="s">
        <v>92</v>
      </c>
      <c r="K13" s="6" t="s">
        <v>2</v>
      </c>
    </row>
    <row r="15" spans="1:14" ht="18" customHeight="1" x14ac:dyDescent="0.35">
      <c r="B15" s="6" t="s">
        <v>93</v>
      </c>
      <c r="E15" s="6" t="s">
        <v>37</v>
      </c>
      <c r="F15" s="15" t="str">
        <f>SPD!E8</f>
        <v>Ir. Irawan Rusnadi, M.T.</v>
      </c>
      <c r="G15" s="16"/>
      <c r="N15" s="16"/>
    </row>
    <row r="16" spans="1:14" ht="18" customHeight="1" x14ac:dyDescent="0.35">
      <c r="B16" s="6" t="s">
        <v>4</v>
      </c>
      <c r="E16" s="6" t="s">
        <v>37</v>
      </c>
      <c r="F16" s="17" t="str">
        <f>SPD!E9</f>
        <v>196702021994031004</v>
      </c>
      <c r="G16" s="18"/>
      <c r="N16" s="19"/>
    </row>
    <row r="17" spans="2:19" ht="18" customHeight="1" x14ac:dyDescent="0.35">
      <c r="B17" s="6" t="s">
        <v>94</v>
      </c>
      <c r="E17" s="6" t="s">
        <v>37</v>
      </c>
      <c r="F17" s="20" t="str">
        <f>SPD!E13</f>
        <v>Direktur</v>
      </c>
    </row>
    <row r="19" spans="2:19" ht="30.75" customHeight="1" x14ac:dyDescent="0.25">
      <c r="B19" s="272" t="s">
        <v>189</v>
      </c>
      <c r="C19" s="272"/>
      <c r="D19" s="272"/>
      <c r="E19" s="272"/>
      <c r="F19" s="272"/>
      <c r="G19" s="272"/>
      <c r="H19" s="272"/>
      <c r="I19" s="272"/>
      <c r="J19" s="272"/>
      <c r="K19" s="272"/>
    </row>
    <row r="21" spans="2:19" ht="45.75" customHeight="1" x14ac:dyDescent="0.35">
      <c r="B21" s="21" t="s">
        <v>23</v>
      </c>
      <c r="C21" s="272" t="s">
        <v>95</v>
      </c>
      <c r="D21" s="272"/>
      <c r="E21" s="272"/>
      <c r="F21" s="272"/>
      <c r="G21" s="272"/>
      <c r="H21" s="272"/>
      <c r="I21" s="272"/>
      <c r="J21" s="272"/>
      <c r="K21" s="272"/>
      <c r="L21" s="21"/>
    </row>
    <row r="22" spans="2:19" ht="15" customHeight="1" x14ac:dyDescent="0.35"/>
    <row r="23" spans="2:19" s="21" customFormat="1" ht="30.75" customHeight="1" x14ac:dyDescent="0.35">
      <c r="B23" s="21" t="s">
        <v>96</v>
      </c>
      <c r="C23" s="272" t="s">
        <v>97</v>
      </c>
      <c r="D23" s="272"/>
      <c r="E23" s="272"/>
      <c r="F23" s="272"/>
      <c r="G23" s="272"/>
      <c r="H23" s="272"/>
      <c r="I23" s="272"/>
      <c r="J23" s="272"/>
      <c r="K23" s="272"/>
      <c r="S23" s="21" t="s">
        <v>2</v>
      </c>
    </row>
    <row r="24" spans="2:19" ht="15" customHeight="1" x14ac:dyDescent="0.35">
      <c r="B24" s="6" t="s">
        <v>2</v>
      </c>
    </row>
    <row r="25" spans="2:19" ht="22.5" customHeight="1" x14ac:dyDescent="0.35">
      <c r="B25" s="272" t="s">
        <v>98</v>
      </c>
      <c r="C25" s="272"/>
      <c r="D25" s="272"/>
      <c r="E25" s="272"/>
      <c r="F25" s="272"/>
      <c r="G25" s="272"/>
      <c r="H25" s="272"/>
      <c r="I25" s="272"/>
      <c r="J25" s="272"/>
      <c r="K25" s="272"/>
      <c r="L25" s="21"/>
    </row>
    <row r="26" spans="2:19" ht="15" customHeight="1" x14ac:dyDescent="0.35"/>
    <row r="27" spans="2:19" ht="18" customHeight="1" x14ac:dyDescent="0.35">
      <c r="B27" s="6" t="s">
        <v>99</v>
      </c>
      <c r="I27" s="22" t="s">
        <v>100</v>
      </c>
      <c r="K27" s="23" t="s">
        <v>209</v>
      </c>
      <c r="O27" s="6" t="s">
        <v>5</v>
      </c>
    </row>
    <row r="28" spans="2:19" ht="18" customHeight="1" x14ac:dyDescent="0.35">
      <c r="B28" s="6" t="s">
        <v>101</v>
      </c>
      <c r="I28" s="6" t="s">
        <v>102</v>
      </c>
    </row>
    <row r="29" spans="2:19" ht="18" customHeight="1" x14ac:dyDescent="0.35">
      <c r="B29" s="6" t="s">
        <v>62</v>
      </c>
      <c r="K29" s="6" t="s">
        <v>2</v>
      </c>
    </row>
    <row r="31" spans="2:19" ht="18" customHeight="1" x14ac:dyDescent="0.25">
      <c r="O31" s="6" t="s">
        <v>2</v>
      </c>
    </row>
    <row r="32" spans="2:19" ht="18" customHeight="1" x14ac:dyDescent="0.25">
      <c r="B32" s="6" t="str">
        <f>'Rincian Biaya Perjadin'!G50</f>
        <v>Dodi Oktavianto, S.E.</v>
      </c>
      <c r="I32" s="6" t="str">
        <f>F15</f>
        <v>Ir. Irawan Rusnadi, M.T.</v>
      </c>
    </row>
    <row r="33" spans="2:10" ht="18" customHeight="1" x14ac:dyDescent="0.25">
      <c r="B33" s="6" t="s">
        <v>64</v>
      </c>
      <c r="I33" s="6" t="s">
        <v>4</v>
      </c>
      <c r="J33" s="22" t="str">
        <f>F16</f>
        <v>196702021994031004</v>
      </c>
    </row>
    <row r="34" spans="2:10" ht="18" customHeight="1" x14ac:dyDescent="0.25">
      <c r="J34" s="22"/>
    </row>
    <row r="35" spans="2:10" ht="18" customHeight="1" x14ac:dyDescent="0.25">
      <c r="I35" s="6" t="s">
        <v>103</v>
      </c>
      <c r="J35" s="22"/>
    </row>
    <row r="36" spans="2:10" ht="18" customHeight="1" x14ac:dyDescent="0.25">
      <c r="J36" s="22"/>
    </row>
  </sheetData>
  <mergeCells count="5">
    <mergeCell ref="A9:K9"/>
    <mergeCell ref="B19:K19"/>
    <mergeCell ref="C21:K21"/>
    <mergeCell ref="C23:K23"/>
    <mergeCell ref="B25:K25"/>
  </mergeCells>
  <hyperlinks>
    <hyperlink ref="H6" r:id="rId1" display="http://polsri.ac.id/"/>
  </hyperlinks>
  <pageMargins left="0.47244094488188981" right="0" top="1.1417322834645669" bottom="0.74803149606299213" header="0.31496062992125984" footer="0.31496062992125984"/>
  <pageSetup paperSize="9" scale="87" orientation="portrait" horizontalDpi="360" verticalDpi="36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27"/>
  <sheetViews>
    <sheetView view="pageBreakPreview" topLeftCell="C9" zoomScale="50" zoomScaleNormal="70" zoomScaleSheetLayoutView="50" workbookViewId="0">
      <selection activeCell="H16" sqref="H16"/>
    </sheetView>
  </sheetViews>
  <sheetFormatPr defaultRowHeight="18.75" x14ac:dyDescent="0.25"/>
  <cols>
    <col min="1" max="1" width="6.5703125" style="129" bestFit="1" customWidth="1"/>
    <col min="2" max="2" width="59.5703125" style="129" customWidth="1"/>
    <col min="3" max="3" width="39.28515625" style="129" bestFit="1" customWidth="1"/>
    <col min="4" max="4" width="23.5703125" style="129" customWidth="1"/>
    <col min="5" max="5" width="20.7109375" style="129" bestFit="1" customWidth="1"/>
    <col min="6" max="6" width="25.42578125" style="129" customWidth="1"/>
    <col min="7" max="7" width="19.42578125" style="129" customWidth="1"/>
    <col min="8" max="8" width="21" style="129" customWidth="1"/>
    <col min="9" max="9" width="19.7109375" style="129" customWidth="1"/>
    <col min="10" max="10" width="19.28515625" style="129" customWidth="1"/>
    <col min="11" max="11" width="18.28515625" style="129" hidden="1" customWidth="1"/>
    <col min="12" max="12" width="23" style="129" customWidth="1"/>
    <col min="13" max="13" width="15.140625" style="129" customWidth="1"/>
    <col min="14" max="14" width="24.42578125" style="129" bestFit="1" customWidth="1"/>
    <col min="15" max="15" width="22.5703125" style="129" customWidth="1"/>
    <col min="16" max="16" width="33.140625" style="129" customWidth="1"/>
    <col min="17" max="17" width="13.85546875" style="129" customWidth="1"/>
    <col min="18" max="259" width="9.140625" style="129"/>
    <col min="260" max="260" width="5.28515625" style="129" customWidth="1"/>
    <col min="261" max="261" width="18.7109375" style="129" customWidth="1"/>
    <col min="262" max="262" width="14.7109375" style="129" customWidth="1"/>
    <col min="263" max="266" width="12.7109375" style="129" customWidth="1"/>
    <col min="267" max="269" width="13.7109375" style="129" customWidth="1"/>
    <col min="270" max="270" width="14.85546875" style="129" customWidth="1"/>
    <col min="271" max="271" width="20.85546875" style="129" customWidth="1"/>
    <col min="272" max="273" width="14.7109375" style="129" customWidth="1"/>
    <col min="274" max="515" width="9.140625" style="129"/>
    <col min="516" max="516" width="5.28515625" style="129" customWidth="1"/>
    <col min="517" max="517" width="18.7109375" style="129" customWidth="1"/>
    <col min="518" max="518" width="14.7109375" style="129" customWidth="1"/>
    <col min="519" max="522" width="12.7109375" style="129" customWidth="1"/>
    <col min="523" max="525" width="13.7109375" style="129" customWidth="1"/>
    <col min="526" max="526" width="14.85546875" style="129" customWidth="1"/>
    <col min="527" max="527" width="20.85546875" style="129" customWidth="1"/>
    <col min="528" max="529" width="14.7109375" style="129" customWidth="1"/>
    <col min="530" max="771" width="9.140625" style="129"/>
    <col min="772" max="772" width="5.28515625" style="129" customWidth="1"/>
    <col min="773" max="773" width="18.7109375" style="129" customWidth="1"/>
    <col min="774" max="774" width="14.7109375" style="129" customWidth="1"/>
    <col min="775" max="778" width="12.7109375" style="129" customWidth="1"/>
    <col min="779" max="781" width="13.7109375" style="129" customWidth="1"/>
    <col min="782" max="782" width="14.85546875" style="129" customWidth="1"/>
    <col min="783" max="783" width="20.85546875" style="129" customWidth="1"/>
    <col min="784" max="785" width="14.7109375" style="129" customWidth="1"/>
    <col min="786" max="1027" width="9.140625" style="129"/>
    <col min="1028" max="1028" width="5.28515625" style="129" customWidth="1"/>
    <col min="1029" max="1029" width="18.7109375" style="129" customWidth="1"/>
    <col min="1030" max="1030" width="14.7109375" style="129" customWidth="1"/>
    <col min="1031" max="1034" width="12.7109375" style="129" customWidth="1"/>
    <col min="1035" max="1037" width="13.7109375" style="129" customWidth="1"/>
    <col min="1038" max="1038" width="14.85546875" style="129" customWidth="1"/>
    <col min="1039" max="1039" width="20.85546875" style="129" customWidth="1"/>
    <col min="1040" max="1041" width="14.7109375" style="129" customWidth="1"/>
    <col min="1042" max="1283" width="9.140625" style="129"/>
    <col min="1284" max="1284" width="5.28515625" style="129" customWidth="1"/>
    <col min="1285" max="1285" width="18.7109375" style="129" customWidth="1"/>
    <col min="1286" max="1286" width="14.7109375" style="129" customWidth="1"/>
    <col min="1287" max="1290" width="12.7109375" style="129" customWidth="1"/>
    <col min="1291" max="1293" width="13.7109375" style="129" customWidth="1"/>
    <col min="1294" max="1294" width="14.85546875" style="129" customWidth="1"/>
    <col min="1295" max="1295" width="20.85546875" style="129" customWidth="1"/>
    <col min="1296" max="1297" width="14.7109375" style="129" customWidth="1"/>
    <col min="1298" max="1539" width="9.140625" style="129"/>
    <col min="1540" max="1540" width="5.28515625" style="129" customWidth="1"/>
    <col min="1541" max="1541" width="18.7109375" style="129" customWidth="1"/>
    <col min="1542" max="1542" width="14.7109375" style="129" customWidth="1"/>
    <col min="1543" max="1546" width="12.7109375" style="129" customWidth="1"/>
    <col min="1547" max="1549" width="13.7109375" style="129" customWidth="1"/>
    <col min="1550" max="1550" width="14.85546875" style="129" customWidth="1"/>
    <col min="1551" max="1551" width="20.85546875" style="129" customWidth="1"/>
    <col min="1552" max="1553" width="14.7109375" style="129" customWidth="1"/>
    <col min="1554" max="1795" width="9.140625" style="129"/>
    <col min="1796" max="1796" width="5.28515625" style="129" customWidth="1"/>
    <col min="1797" max="1797" width="18.7109375" style="129" customWidth="1"/>
    <col min="1798" max="1798" width="14.7109375" style="129" customWidth="1"/>
    <col min="1799" max="1802" width="12.7109375" style="129" customWidth="1"/>
    <col min="1803" max="1805" width="13.7109375" style="129" customWidth="1"/>
    <col min="1806" max="1806" width="14.85546875" style="129" customWidth="1"/>
    <col min="1807" max="1807" width="20.85546875" style="129" customWidth="1"/>
    <col min="1808" max="1809" width="14.7109375" style="129" customWidth="1"/>
    <col min="1810" max="2051" width="9.140625" style="129"/>
    <col min="2052" max="2052" width="5.28515625" style="129" customWidth="1"/>
    <col min="2053" max="2053" width="18.7109375" style="129" customWidth="1"/>
    <col min="2054" max="2054" width="14.7109375" style="129" customWidth="1"/>
    <col min="2055" max="2058" width="12.7109375" style="129" customWidth="1"/>
    <col min="2059" max="2061" width="13.7109375" style="129" customWidth="1"/>
    <col min="2062" max="2062" width="14.85546875" style="129" customWidth="1"/>
    <col min="2063" max="2063" width="20.85546875" style="129" customWidth="1"/>
    <col min="2064" max="2065" width="14.7109375" style="129" customWidth="1"/>
    <col min="2066" max="2307" width="9.140625" style="129"/>
    <col min="2308" max="2308" width="5.28515625" style="129" customWidth="1"/>
    <col min="2309" max="2309" width="18.7109375" style="129" customWidth="1"/>
    <col min="2310" max="2310" width="14.7109375" style="129" customWidth="1"/>
    <col min="2311" max="2314" width="12.7109375" style="129" customWidth="1"/>
    <col min="2315" max="2317" width="13.7109375" style="129" customWidth="1"/>
    <col min="2318" max="2318" width="14.85546875" style="129" customWidth="1"/>
    <col min="2319" max="2319" width="20.85546875" style="129" customWidth="1"/>
    <col min="2320" max="2321" width="14.7109375" style="129" customWidth="1"/>
    <col min="2322" max="2563" width="9.140625" style="129"/>
    <col min="2564" max="2564" width="5.28515625" style="129" customWidth="1"/>
    <col min="2565" max="2565" width="18.7109375" style="129" customWidth="1"/>
    <col min="2566" max="2566" width="14.7109375" style="129" customWidth="1"/>
    <col min="2567" max="2570" width="12.7109375" style="129" customWidth="1"/>
    <col min="2571" max="2573" width="13.7109375" style="129" customWidth="1"/>
    <col min="2574" max="2574" width="14.85546875" style="129" customWidth="1"/>
    <col min="2575" max="2575" width="20.85546875" style="129" customWidth="1"/>
    <col min="2576" max="2577" width="14.7109375" style="129" customWidth="1"/>
    <col min="2578" max="2819" width="9.140625" style="129"/>
    <col min="2820" max="2820" width="5.28515625" style="129" customWidth="1"/>
    <col min="2821" max="2821" width="18.7109375" style="129" customWidth="1"/>
    <col min="2822" max="2822" width="14.7109375" style="129" customWidth="1"/>
    <col min="2823" max="2826" width="12.7109375" style="129" customWidth="1"/>
    <col min="2827" max="2829" width="13.7109375" style="129" customWidth="1"/>
    <col min="2830" max="2830" width="14.85546875" style="129" customWidth="1"/>
    <col min="2831" max="2831" width="20.85546875" style="129" customWidth="1"/>
    <col min="2832" max="2833" width="14.7109375" style="129" customWidth="1"/>
    <col min="2834" max="3075" width="9.140625" style="129"/>
    <col min="3076" max="3076" width="5.28515625" style="129" customWidth="1"/>
    <col min="3077" max="3077" width="18.7109375" style="129" customWidth="1"/>
    <col min="3078" max="3078" width="14.7109375" style="129" customWidth="1"/>
    <col min="3079" max="3082" width="12.7109375" style="129" customWidth="1"/>
    <col min="3083" max="3085" width="13.7109375" style="129" customWidth="1"/>
    <col min="3086" max="3086" width="14.85546875" style="129" customWidth="1"/>
    <col min="3087" max="3087" width="20.85546875" style="129" customWidth="1"/>
    <col min="3088" max="3089" width="14.7109375" style="129" customWidth="1"/>
    <col min="3090" max="3331" width="9.140625" style="129"/>
    <col min="3332" max="3332" width="5.28515625" style="129" customWidth="1"/>
    <col min="3333" max="3333" width="18.7109375" style="129" customWidth="1"/>
    <col min="3334" max="3334" width="14.7109375" style="129" customWidth="1"/>
    <col min="3335" max="3338" width="12.7109375" style="129" customWidth="1"/>
    <col min="3339" max="3341" width="13.7109375" style="129" customWidth="1"/>
    <col min="3342" max="3342" width="14.85546875" style="129" customWidth="1"/>
    <col min="3343" max="3343" width="20.85546875" style="129" customWidth="1"/>
    <col min="3344" max="3345" width="14.7109375" style="129" customWidth="1"/>
    <col min="3346" max="3587" width="9.140625" style="129"/>
    <col min="3588" max="3588" width="5.28515625" style="129" customWidth="1"/>
    <col min="3589" max="3589" width="18.7109375" style="129" customWidth="1"/>
    <col min="3590" max="3590" width="14.7109375" style="129" customWidth="1"/>
    <col min="3591" max="3594" width="12.7109375" style="129" customWidth="1"/>
    <col min="3595" max="3597" width="13.7109375" style="129" customWidth="1"/>
    <col min="3598" max="3598" width="14.85546875" style="129" customWidth="1"/>
    <col min="3599" max="3599" width="20.85546875" style="129" customWidth="1"/>
    <col min="3600" max="3601" width="14.7109375" style="129" customWidth="1"/>
    <col min="3602" max="3843" width="9.140625" style="129"/>
    <col min="3844" max="3844" width="5.28515625" style="129" customWidth="1"/>
    <col min="3845" max="3845" width="18.7109375" style="129" customWidth="1"/>
    <col min="3846" max="3846" width="14.7109375" style="129" customWidth="1"/>
    <col min="3847" max="3850" width="12.7109375" style="129" customWidth="1"/>
    <col min="3851" max="3853" width="13.7109375" style="129" customWidth="1"/>
    <col min="3854" max="3854" width="14.85546875" style="129" customWidth="1"/>
    <col min="3855" max="3855" width="20.85546875" style="129" customWidth="1"/>
    <col min="3856" max="3857" width="14.7109375" style="129" customWidth="1"/>
    <col min="3858" max="4099" width="9.140625" style="129"/>
    <col min="4100" max="4100" width="5.28515625" style="129" customWidth="1"/>
    <col min="4101" max="4101" width="18.7109375" style="129" customWidth="1"/>
    <col min="4102" max="4102" width="14.7109375" style="129" customWidth="1"/>
    <col min="4103" max="4106" width="12.7109375" style="129" customWidth="1"/>
    <col min="4107" max="4109" width="13.7109375" style="129" customWidth="1"/>
    <col min="4110" max="4110" width="14.85546875" style="129" customWidth="1"/>
    <col min="4111" max="4111" width="20.85546875" style="129" customWidth="1"/>
    <col min="4112" max="4113" width="14.7109375" style="129" customWidth="1"/>
    <col min="4114" max="4355" width="9.140625" style="129"/>
    <col min="4356" max="4356" width="5.28515625" style="129" customWidth="1"/>
    <col min="4357" max="4357" width="18.7109375" style="129" customWidth="1"/>
    <col min="4358" max="4358" width="14.7109375" style="129" customWidth="1"/>
    <col min="4359" max="4362" width="12.7109375" style="129" customWidth="1"/>
    <col min="4363" max="4365" width="13.7109375" style="129" customWidth="1"/>
    <col min="4366" max="4366" width="14.85546875" style="129" customWidth="1"/>
    <col min="4367" max="4367" width="20.85546875" style="129" customWidth="1"/>
    <col min="4368" max="4369" width="14.7109375" style="129" customWidth="1"/>
    <col min="4370" max="4611" width="9.140625" style="129"/>
    <col min="4612" max="4612" width="5.28515625" style="129" customWidth="1"/>
    <col min="4613" max="4613" width="18.7109375" style="129" customWidth="1"/>
    <col min="4614" max="4614" width="14.7109375" style="129" customWidth="1"/>
    <col min="4615" max="4618" width="12.7109375" style="129" customWidth="1"/>
    <col min="4619" max="4621" width="13.7109375" style="129" customWidth="1"/>
    <col min="4622" max="4622" width="14.85546875" style="129" customWidth="1"/>
    <col min="4623" max="4623" width="20.85546875" style="129" customWidth="1"/>
    <col min="4624" max="4625" width="14.7109375" style="129" customWidth="1"/>
    <col min="4626" max="4867" width="9.140625" style="129"/>
    <col min="4868" max="4868" width="5.28515625" style="129" customWidth="1"/>
    <col min="4869" max="4869" width="18.7109375" style="129" customWidth="1"/>
    <col min="4870" max="4870" width="14.7109375" style="129" customWidth="1"/>
    <col min="4871" max="4874" width="12.7109375" style="129" customWidth="1"/>
    <col min="4875" max="4877" width="13.7109375" style="129" customWidth="1"/>
    <col min="4878" max="4878" width="14.85546875" style="129" customWidth="1"/>
    <col min="4879" max="4879" width="20.85546875" style="129" customWidth="1"/>
    <col min="4880" max="4881" width="14.7109375" style="129" customWidth="1"/>
    <col min="4882" max="5123" width="9.140625" style="129"/>
    <col min="5124" max="5124" width="5.28515625" style="129" customWidth="1"/>
    <col min="5125" max="5125" width="18.7109375" style="129" customWidth="1"/>
    <col min="5126" max="5126" width="14.7109375" style="129" customWidth="1"/>
    <col min="5127" max="5130" width="12.7109375" style="129" customWidth="1"/>
    <col min="5131" max="5133" width="13.7109375" style="129" customWidth="1"/>
    <col min="5134" max="5134" width="14.85546875" style="129" customWidth="1"/>
    <col min="5135" max="5135" width="20.85546875" style="129" customWidth="1"/>
    <col min="5136" max="5137" width="14.7109375" style="129" customWidth="1"/>
    <col min="5138" max="5379" width="9.140625" style="129"/>
    <col min="5380" max="5380" width="5.28515625" style="129" customWidth="1"/>
    <col min="5381" max="5381" width="18.7109375" style="129" customWidth="1"/>
    <col min="5382" max="5382" width="14.7109375" style="129" customWidth="1"/>
    <col min="5383" max="5386" width="12.7109375" style="129" customWidth="1"/>
    <col min="5387" max="5389" width="13.7109375" style="129" customWidth="1"/>
    <col min="5390" max="5390" width="14.85546875" style="129" customWidth="1"/>
    <col min="5391" max="5391" width="20.85546875" style="129" customWidth="1"/>
    <col min="5392" max="5393" width="14.7109375" style="129" customWidth="1"/>
    <col min="5394" max="5635" width="9.140625" style="129"/>
    <col min="5636" max="5636" width="5.28515625" style="129" customWidth="1"/>
    <col min="5637" max="5637" width="18.7109375" style="129" customWidth="1"/>
    <col min="5638" max="5638" width="14.7109375" style="129" customWidth="1"/>
    <col min="5639" max="5642" width="12.7109375" style="129" customWidth="1"/>
    <col min="5643" max="5645" width="13.7109375" style="129" customWidth="1"/>
    <col min="5646" max="5646" width="14.85546875" style="129" customWidth="1"/>
    <col min="5647" max="5647" width="20.85546875" style="129" customWidth="1"/>
    <col min="5648" max="5649" width="14.7109375" style="129" customWidth="1"/>
    <col min="5650" max="5891" width="9.140625" style="129"/>
    <col min="5892" max="5892" width="5.28515625" style="129" customWidth="1"/>
    <col min="5893" max="5893" width="18.7109375" style="129" customWidth="1"/>
    <col min="5894" max="5894" width="14.7109375" style="129" customWidth="1"/>
    <col min="5895" max="5898" width="12.7109375" style="129" customWidth="1"/>
    <col min="5899" max="5901" width="13.7109375" style="129" customWidth="1"/>
    <col min="5902" max="5902" width="14.85546875" style="129" customWidth="1"/>
    <col min="5903" max="5903" width="20.85546875" style="129" customWidth="1"/>
    <col min="5904" max="5905" width="14.7109375" style="129" customWidth="1"/>
    <col min="5906" max="6147" width="9.140625" style="129"/>
    <col min="6148" max="6148" width="5.28515625" style="129" customWidth="1"/>
    <col min="6149" max="6149" width="18.7109375" style="129" customWidth="1"/>
    <col min="6150" max="6150" width="14.7109375" style="129" customWidth="1"/>
    <col min="6151" max="6154" width="12.7109375" style="129" customWidth="1"/>
    <col min="6155" max="6157" width="13.7109375" style="129" customWidth="1"/>
    <col min="6158" max="6158" width="14.85546875" style="129" customWidth="1"/>
    <col min="6159" max="6159" width="20.85546875" style="129" customWidth="1"/>
    <col min="6160" max="6161" width="14.7109375" style="129" customWidth="1"/>
    <col min="6162" max="6403" width="9.140625" style="129"/>
    <col min="6404" max="6404" width="5.28515625" style="129" customWidth="1"/>
    <col min="6405" max="6405" width="18.7109375" style="129" customWidth="1"/>
    <col min="6406" max="6406" width="14.7109375" style="129" customWidth="1"/>
    <col min="6407" max="6410" width="12.7109375" style="129" customWidth="1"/>
    <col min="6411" max="6413" width="13.7109375" style="129" customWidth="1"/>
    <col min="6414" max="6414" width="14.85546875" style="129" customWidth="1"/>
    <col min="6415" max="6415" width="20.85546875" style="129" customWidth="1"/>
    <col min="6416" max="6417" width="14.7109375" style="129" customWidth="1"/>
    <col min="6418" max="6659" width="9.140625" style="129"/>
    <col min="6660" max="6660" width="5.28515625" style="129" customWidth="1"/>
    <col min="6661" max="6661" width="18.7109375" style="129" customWidth="1"/>
    <col min="6662" max="6662" width="14.7109375" style="129" customWidth="1"/>
    <col min="6663" max="6666" width="12.7109375" style="129" customWidth="1"/>
    <col min="6667" max="6669" width="13.7109375" style="129" customWidth="1"/>
    <col min="6670" max="6670" width="14.85546875" style="129" customWidth="1"/>
    <col min="6671" max="6671" width="20.85546875" style="129" customWidth="1"/>
    <col min="6672" max="6673" width="14.7109375" style="129" customWidth="1"/>
    <col min="6674" max="6915" width="9.140625" style="129"/>
    <col min="6916" max="6916" width="5.28515625" style="129" customWidth="1"/>
    <col min="6917" max="6917" width="18.7109375" style="129" customWidth="1"/>
    <col min="6918" max="6918" width="14.7109375" style="129" customWidth="1"/>
    <col min="6919" max="6922" width="12.7109375" style="129" customWidth="1"/>
    <col min="6923" max="6925" width="13.7109375" style="129" customWidth="1"/>
    <col min="6926" max="6926" width="14.85546875" style="129" customWidth="1"/>
    <col min="6927" max="6927" width="20.85546875" style="129" customWidth="1"/>
    <col min="6928" max="6929" width="14.7109375" style="129" customWidth="1"/>
    <col min="6930" max="7171" width="9.140625" style="129"/>
    <col min="7172" max="7172" width="5.28515625" style="129" customWidth="1"/>
    <col min="7173" max="7173" width="18.7109375" style="129" customWidth="1"/>
    <col min="7174" max="7174" width="14.7109375" style="129" customWidth="1"/>
    <col min="7175" max="7178" width="12.7109375" style="129" customWidth="1"/>
    <col min="7179" max="7181" width="13.7109375" style="129" customWidth="1"/>
    <col min="7182" max="7182" width="14.85546875" style="129" customWidth="1"/>
    <col min="7183" max="7183" width="20.85546875" style="129" customWidth="1"/>
    <col min="7184" max="7185" width="14.7109375" style="129" customWidth="1"/>
    <col min="7186" max="7427" width="9.140625" style="129"/>
    <col min="7428" max="7428" width="5.28515625" style="129" customWidth="1"/>
    <col min="7429" max="7429" width="18.7109375" style="129" customWidth="1"/>
    <col min="7430" max="7430" width="14.7109375" style="129" customWidth="1"/>
    <col min="7431" max="7434" width="12.7109375" style="129" customWidth="1"/>
    <col min="7435" max="7437" width="13.7109375" style="129" customWidth="1"/>
    <col min="7438" max="7438" width="14.85546875" style="129" customWidth="1"/>
    <col min="7439" max="7439" width="20.85546875" style="129" customWidth="1"/>
    <col min="7440" max="7441" width="14.7109375" style="129" customWidth="1"/>
    <col min="7442" max="7683" width="9.140625" style="129"/>
    <col min="7684" max="7684" width="5.28515625" style="129" customWidth="1"/>
    <col min="7685" max="7685" width="18.7109375" style="129" customWidth="1"/>
    <col min="7686" max="7686" width="14.7109375" style="129" customWidth="1"/>
    <col min="7687" max="7690" width="12.7109375" style="129" customWidth="1"/>
    <col min="7691" max="7693" width="13.7109375" style="129" customWidth="1"/>
    <col min="7694" max="7694" width="14.85546875" style="129" customWidth="1"/>
    <col min="7695" max="7695" width="20.85546875" style="129" customWidth="1"/>
    <col min="7696" max="7697" width="14.7109375" style="129" customWidth="1"/>
    <col min="7698" max="7939" width="9.140625" style="129"/>
    <col min="7940" max="7940" width="5.28515625" style="129" customWidth="1"/>
    <col min="7941" max="7941" width="18.7109375" style="129" customWidth="1"/>
    <col min="7942" max="7942" width="14.7109375" style="129" customWidth="1"/>
    <col min="7943" max="7946" width="12.7109375" style="129" customWidth="1"/>
    <col min="7947" max="7949" width="13.7109375" style="129" customWidth="1"/>
    <col min="7950" max="7950" width="14.85546875" style="129" customWidth="1"/>
    <col min="7951" max="7951" width="20.85546875" style="129" customWidth="1"/>
    <col min="7952" max="7953" width="14.7109375" style="129" customWidth="1"/>
    <col min="7954" max="8195" width="9.140625" style="129"/>
    <col min="8196" max="8196" width="5.28515625" style="129" customWidth="1"/>
    <col min="8197" max="8197" width="18.7109375" style="129" customWidth="1"/>
    <col min="8198" max="8198" width="14.7109375" style="129" customWidth="1"/>
    <col min="8199" max="8202" width="12.7109375" style="129" customWidth="1"/>
    <col min="8203" max="8205" width="13.7109375" style="129" customWidth="1"/>
    <col min="8206" max="8206" width="14.85546875" style="129" customWidth="1"/>
    <col min="8207" max="8207" width="20.85546875" style="129" customWidth="1"/>
    <col min="8208" max="8209" width="14.7109375" style="129" customWidth="1"/>
    <col min="8210" max="8451" width="9.140625" style="129"/>
    <col min="8452" max="8452" width="5.28515625" style="129" customWidth="1"/>
    <col min="8453" max="8453" width="18.7109375" style="129" customWidth="1"/>
    <col min="8454" max="8454" width="14.7109375" style="129" customWidth="1"/>
    <col min="8455" max="8458" width="12.7109375" style="129" customWidth="1"/>
    <col min="8459" max="8461" width="13.7109375" style="129" customWidth="1"/>
    <col min="8462" max="8462" width="14.85546875" style="129" customWidth="1"/>
    <col min="8463" max="8463" width="20.85546875" style="129" customWidth="1"/>
    <col min="8464" max="8465" width="14.7109375" style="129" customWidth="1"/>
    <col min="8466" max="8707" width="9.140625" style="129"/>
    <col min="8708" max="8708" width="5.28515625" style="129" customWidth="1"/>
    <col min="8709" max="8709" width="18.7109375" style="129" customWidth="1"/>
    <col min="8710" max="8710" width="14.7109375" style="129" customWidth="1"/>
    <col min="8711" max="8714" width="12.7109375" style="129" customWidth="1"/>
    <col min="8715" max="8717" width="13.7109375" style="129" customWidth="1"/>
    <col min="8718" max="8718" width="14.85546875" style="129" customWidth="1"/>
    <col min="8719" max="8719" width="20.85546875" style="129" customWidth="1"/>
    <col min="8720" max="8721" width="14.7109375" style="129" customWidth="1"/>
    <col min="8722" max="8963" width="9.140625" style="129"/>
    <col min="8964" max="8964" width="5.28515625" style="129" customWidth="1"/>
    <col min="8965" max="8965" width="18.7109375" style="129" customWidth="1"/>
    <col min="8966" max="8966" width="14.7109375" style="129" customWidth="1"/>
    <col min="8967" max="8970" width="12.7109375" style="129" customWidth="1"/>
    <col min="8971" max="8973" width="13.7109375" style="129" customWidth="1"/>
    <col min="8974" max="8974" width="14.85546875" style="129" customWidth="1"/>
    <col min="8975" max="8975" width="20.85546875" style="129" customWidth="1"/>
    <col min="8976" max="8977" width="14.7109375" style="129" customWidth="1"/>
    <col min="8978" max="9219" width="9.140625" style="129"/>
    <col min="9220" max="9220" width="5.28515625" style="129" customWidth="1"/>
    <col min="9221" max="9221" width="18.7109375" style="129" customWidth="1"/>
    <col min="9222" max="9222" width="14.7109375" style="129" customWidth="1"/>
    <col min="9223" max="9226" width="12.7109375" style="129" customWidth="1"/>
    <col min="9227" max="9229" width="13.7109375" style="129" customWidth="1"/>
    <col min="9230" max="9230" width="14.85546875" style="129" customWidth="1"/>
    <col min="9231" max="9231" width="20.85546875" style="129" customWidth="1"/>
    <col min="9232" max="9233" width="14.7109375" style="129" customWidth="1"/>
    <col min="9234" max="9475" width="9.140625" style="129"/>
    <col min="9476" max="9476" width="5.28515625" style="129" customWidth="1"/>
    <col min="9477" max="9477" width="18.7109375" style="129" customWidth="1"/>
    <col min="9478" max="9478" width="14.7109375" style="129" customWidth="1"/>
    <col min="9479" max="9482" width="12.7109375" style="129" customWidth="1"/>
    <col min="9483" max="9485" width="13.7109375" style="129" customWidth="1"/>
    <col min="9486" max="9486" width="14.85546875" style="129" customWidth="1"/>
    <col min="9487" max="9487" width="20.85546875" style="129" customWidth="1"/>
    <col min="9488" max="9489" width="14.7109375" style="129" customWidth="1"/>
    <col min="9490" max="9731" width="9.140625" style="129"/>
    <col min="9732" max="9732" width="5.28515625" style="129" customWidth="1"/>
    <col min="9733" max="9733" width="18.7109375" style="129" customWidth="1"/>
    <col min="9734" max="9734" width="14.7109375" style="129" customWidth="1"/>
    <col min="9735" max="9738" width="12.7109375" style="129" customWidth="1"/>
    <col min="9739" max="9741" width="13.7109375" style="129" customWidth="1"/>
    <col min="9742" max="9742" width="14.85546875" style="129" customWidth="1"/>
    <col min="9743" max="9743" width="20.85546875" style="129" customWidth="1"/>
    <col min="9744" max="9745" width="14.7109375" style="129" customWidth="1"/>
    <col min="9746" max="9987" width="9.140625" style="129"/>
    <col min="9988" max="9988" width="5.28515625" style="129" customWidth="1"/>
    <col min="9989" max="9989" width="18.7109375" style="129" customWidth="1"/>
    <col min="9990" max="9990" width="14.7109375" style="129" customWidth="1"/>
    <col min="9991" max="9994" width="12.7109375" style="129" customWidth="1"/>
    <col min="9995" max="9997" width="13.7109375" style="129" customWidth="1"/>
    <col min="9998" max="9998" width="14.85546875" style="129" customWidth="1"/>
    <col min="9999" max="9999" width="20.85546875" style="129" customWidth="1"/>
    <col min="10000" max="10001" width="14.7109375" style="129" customWidth="1"/>
    <col min="10002" max="10243" width="9.140625" style="129"/>
    <col min="10244" max="10244" width="5.28515625" style="129" customWidth="1"/>
    <col min="10245" max="10245" width="18.7109375" style="129" customWidth="1"/>
    <col min="10246" max="10246" width="14.7109375" style="129" customWidth="1"/>
    <col min="10247" max="10250" width="12.7109375" style="129" customWidth="1"/>
    <col min="10251" max="10253" width="13.7109375" style="129" customWidth="1"/>
    <col min="10254" max="10254" width="14.85546875" style="129" customWidth="1"/>
    <col min="10255" max="10255" width="20.85546875" style="129" customWidth="1"/>
    <col min="10256" max="10257" width="14.7109375" style="129" customWidth="1"/>
    <col min="10258" max="10499" width="9.140625" style="129"/>
    <col min="10500" max="10500" width="5.28515625" style="129" customWidth="1"/>
    <col min="10501" max="10501" width="18.7109375" style="129" customWidth="1"/>
    <col min="10502" max="10502" width="14.7109375" style="129" customWidth="1"/>
    <col min="10503" max="10506" width="12.7109375" style="129" customWidth="1"/>
    <col min="10507" max="10509" width="13.7109375" style="129" customWidth="1"/>
    <col min="10510" max="10510" width="14.85546875" style="129" customWidth="1"/>
    <col min="10511" max="10511" width="20.85546875" style="129" customWidth="1"/>
    <col min="10512" max="10513" width="14.7109375" style="129" customWidth="1"/>
    <col min="10514" max="10755" width="9.140625" style="129"/>
    <col min="10756" max="10756" width="5.28515625" style="129" customWidth="1"/>
    <col min="10757" max="10757" width="18.7109375" style="129" customWidth="1"/>
    <col min="10758" max="10758" width="14.7109375" style="129" customWidth="1"/>
    <col min="10759" max="10762" width="12.7109375" style="129" customWidth="1"/>
    <col min="10763" max="10765" width="13.7109375" style="129" customWidth="1"/>
    <col min="10766" max="10766" width="14.85546875" style="129" customWidth="1"/>
    <col min="10767" max="10767" width="20.85546875" style="129" customWidth="1"/>
    <col min="10768" max="10769" width="14.7109375" style="129" customWidth="1"/>
    <col min="10770" max="11011" width="9.140625" style="129"/>
    <col min="11012" max="11012" width="5.28515625" style="129" customWidth="1"/>
    <col min="11013" max="11013" width="18.7109375" style="129" customWidth="1"/>
    <col min="11014" max="11014" width="14.7109375" style="129" customWidth="1"/>
    <col min="11015" max="11018" width="12.7109375" style="129" customWidth="1"/>
    <col min="11019" max="11021" width="13.7109375" style="129" customWidth="1"/>
    <col min="11022" max="11022" width="14.85546875" style="129" customWidth="1"/>
    <col min="11023" max="11023" width="20.85546875" style="129" customWidth="1"/>
    <col min="11024" max="11025" width="14.7109375" style="129" customWidth="1"/>
    <col min="11026" max="11267" width="9.140625" style="129"/>
    <col min="11268" max="11268" width="5.28515625" style="129" customWidth="1"/>
    <col min="11269" max="11269" width="18.7109375" style="129" customWidth="1"/>
    <col min="11270" max="11270" width="14.7109375" style="129" customWidth="1"/>
    <col min="11271" max="11274" width="12.7109375" style="129" customWidth="1"/>
    <col min="11275" max="11277" width="13.7109375" style="129" customWidth="1"/>
    <col min="11278" max="11278" width="14.85546875" style="129" customWidth="1"/>
    <col min="11279" max="11279" width="20.85546875" style="129" customWidth="1"/>
    <col min="11280" max="11281" width="14.7109375" style="129" customWidth="1"/>
    <col min="11282" max="11523" width="9.140625" style="129"/>
    <col min="11524" max="11524" width="5.28515625" style="129" customWidth="1"/>
    <col min="11525" max="11525" width="18.7109375" style="129" customWidth="1"/>
    <col min="11526" max="11526" width="14.7109375" style="129" customWidth="1"/>
    <col min="11527" max="11530" width="12.7109375" style="129" customWidth="1"/>
    <col min="11531" max="11533" width="13.7109375" style="129" customWidth="1"/>
    <col min="11534" max="11534" width="14.85546875" style="129" customWidth="1"/>
    <col min="11535" max="11535" width="20.85546875" style="129" customWidth="1"/>
    <col min="11536" max="11537" width="14.7109375" style="129" customWidth="1"/>
    <col min="11538" max="11779" width="9.140625" style="129"/>
    <col min="11780" max="11780" width="5.28515625" style="129" customWidth="1"/>
    <col min="11781" max="11781" width="18.7109375" style="129" customWidth="1"/>
    <col min="11782" max="11782" width="14.7109375" style="129" customWidth="1"/>
    <col min="11783" max="11786" width="12.7109375" style="129" customWidth="1"/>
    <col min="11787" max="11789" width="13.7109375" style="129" customWidth="1"/>
    <col min="11790" max="11790" width="14.85546875" style="129" customWidth="1"/>
    <col min="11791" max="11791" width="20.85546875" style="129" customWidth="1"/>
    <col min="11792" max="11793" width="14.7109375" style="129" customWidth="1"/>
    <col min="11794" max="12035" width="9.140625" style="129"/>
    <col min="12036" max="12036" width="5.28515625" style="129" customWidth="1"/>
    <col min="12037" max="12037" width="18.7109375" style="129" customWidth="1"/>
    <col min="12038" max="12038" width="14.7109375" style="129" customWidth="1"/>
    <col min="12039" max="12042" width="12.7109375" style="129" customWidth="1"/>
    <col min="12043" max="12045" width="13.7109375" style="129" customWidth="1"/>
    <col min="12046" max="12046" width="14.85546875" style="129" customWidth="1"/>
    <col min="12047" max="12047" width="20.85546875" style="129" customWidth="1"/>
    <col min="12048" max="12049" width="14.7109375" style="129" customWidth="1"/>
    <col min="12050" max="12291" width="9.140625" style="129"/>
    <col min="12292" max="12292" width="5.28515625" style="129" customWidth="1"/>
    <col min="12293" max="12293" width="18.7109375" style="129" customWidth="1"/>
    <col min="12294" max="12294" width="14.7109375" style="129" customWidth="1"/>
    <col min="12295" max="12298" width="12.7109375" style="129" customWidth="1"/>
    <col min="12299" max="12301" width="13.7109375" style="129" customWidth="1"/>
    <col min="12302" max="12302" width="14.85546875" style="129" customWidth="1"/>
    <col min="12303" max="12303" width="20.85546875" style="129" customWidth="1"/>
    <col min="12304" max="12305" width="14.7109375" style="129" customWidth="1"/>
    <col min="12306" max="12547" width="9.140625" style="129"/>
    <col min="12548" max="12548" width="5.28515625" style="129" customWidth="1"/>
    <col min="12549" max="12549" width="18.7109375" style="129" customWidth="1"/>
    <col min="12550" max="12550" width="14.7109375" style="129" customWidth="1"/>
    <col min="12551" max="12554" width="12.7109375" style="129" customWidth="1"/>
    <col min="12555" max="12557" width="13.7109375" style="129" customWidth="1"/>
    <col min="12558" max="12558" width="14.85546875" style="129" customWidth="1"/>
    <col min="12559" max="12559" width="20.85546875" style="129" customWidth="1"/>
    <col min="12560" max="12561" width="14.7109375" style="129" customWidth="1"/>
    <col min="12562" max="12803" width="9.140625" style="129"/>
    <col min="12804" max="12804" width="5.28515625" style="129" customWidth="1"/>
    <col min="12805" max="12805" width="18.7109375" style="129" customWidth="1"/>
    <col min="12806" max="12806" width="14.7109375" style="129" customWidth="1"/>
    <col min="12807" max="12810" width="12.7109375" style="129" customWidth="1"/>
    <col min="12811" max="12813" width="13.7109375" style="129" customWidth="1"/>
    <col min="12814" max="12814" width="14.85546875" style="129" customWidth="1"/>
    <col min="12815" max="12815" width="20.85546875" style="129" customWidth="1"/>
    <col min="12816" max="12817" width="14.7109375" style="129" customWidth="1"/>
    <col min="12818" max="13059" width="9.140625" style="129"/>
    <col min="13060" max="13060" width="5.28515625" style="129" customWidth="1"/>
    <col min="13061" max="13061" width="18.7109375" style="129" customWidth="1"/>
    <col min="13062" max="13062" width="14.7109375" style="129" customWidth="1"/>
    <col min="13063" max="13066" width="12.7109375" style="129" customWidth="1"/>
    <col min="13067" max="13069" width="13.7109375" style="129" customWidth="1"/>
    <col min="13070" max="13070" width="14.85546875" style="129" customWidth="1"/>
    <col min="13071" max="13071" width="20.85546875" style="129" customWidth="1"/>
    <col min="13072" max="13073" width="14.7109375" style="129" customWidth="1"/>
    <col min="13074" max="13315" width="9.140625" style="129"/>
    <col min="13316" max="13316" width="5.28515625" style="129" customWidth="1"/>
    <col min="13317" max="13317" width="18.7109375" style="129" customWidth="1"/>
    <col min="13318" max="13318" width="14.7109375" style="129" customWidth="1"/>
    <col min="13319" max="13322" width="12.7109375" style="129" customWidth="1"/>
    <col min="13323" max="13325" width="13.7109375" style="129" customWidth="1"/>
    <col min="13326" max="13326" width="14.85546875" style="129" customWidth="1"/>
    <col min="13327" max="13327" width="20.85546875" style="129" customWidth="1"/>
    <col min="13328" max="13329" width="14.7109375" style="129" customWidth="1"/>
    <col min="13330" max="13571" width="9.140625" style="129"/>
    <col min="13572" max="13572" width="5.28515625" style="129" customWidth="1"/>
    <col min="13573" max="13573" width="18.7109375" style="129" customWidth="1"/>
    <col min="13574" max="13574" width="14.7109375" style="129" customWidth="1"/>
    <col min="13575" max="13578" width="12.7109375" style="129" customWidth="1"/>
    <col min="13579" max="13581" width="13.7109375" style="129" customWidth="1"/>
    <col min="13582" max="13582" width="14.85546875" style="129" customWidth="1"/>
    <col min="13583" max="13583" width="20.85546875" style="129" customWidth="1"/>
    <col min="13584" max="13585" width="14.7109375" style="129" customWidth="1"/>
    <col min="13586" max="13827" width="9.140625" style="129"/>
    <col min="13828" max="13828" width="5.28515625" style="129" customWidth="1"/>
    <col min="13829" max="13829" width="18.7109375" style="129" customWidth="1"/>
    <col min="13830" max="13830" width="14.7109375" style="129" customWidth="1"/>
    <col min="13831" max="13834" width="12.7109375" style="129" customWidth="1"/>
    <col min="13835" max="13837" width="13.7109375" style="129" customWidth="1"/>
    <col min="13838" max="13838" width="14.85546875" style="129" customWidth="1"/>
    <col min="13839" max="13839" width="20.85546875" style="129" customWidth="1"/>
    <col min="13840" max="13841" width="14.7109375" style="129" customWidth="1"/>
    <col min="13842" max="14083" width="9.140625" style="129"/>
    <col min="14084" max="14084" width="5.28515625" style="129" customWidth="1"/>
    <col min="14085" max="14085" width="18.7109375" style="129" customWidth="1"/>
    <col min="14086" max="14086" width="14.7109375" style="129" customWidth="1"/>
    <col min="14087" max="14090" width="12.7109375" style="129" customWidth="1"/>
    <col min="14091" max="14093" width="13.7109375" style="129" customWidth="1"/>
    <col min="14094" max="14094" width="14.85546875" style="129" customWidth="1"/>
    <col min="14095" max="14095" width="20.85546875" style="129" customWidth="1"/>
    <col min="14096" max="14097" width="14.7109375" style="129" customWidth="1"/>
    <col min="14098" max="14339" width="9.140625" style="129"/>
    <col min="14340" max="14340" width="5.28515625" style="129" customWidth="1"/>
    <col min="14341" max="14341" width="18.7109375" style="129" customWidth="1"/>
    <col min="14342" max="14342" width="14.7109375" style="129" customWidth="1"/>
    <col min="14343" max="14346" width="12.7109375" style="129" customWidth="1"/>
    <col min="14347" max="14349" width="13.7109375" style="129" customWidth="1"/>
    <col min="14350" max="14350" width="14.85546875" style="129" customWidth="1"/>
    <col min="14351" max="14351" width="20.85546875" style="129" customWidth="1"/>
    <col min="14352" max="14353" width="14.7109375" style="129" customWidth="1"/>
    <col min="14354" max="14595" width="9.140625" style="129"/>
    <col min="14596" max="14596" width="5.28515625" style="129" customWidth="1"/>
    <col min="14597" max="14597" width="18.7109375" style="129" customWidth="1"/>
    <col min="14598" max="14598" width="14.7109375" style="129" customWidth="1"/>
    <col min="14599" max="14602" width="12.7109375" style="129" customWidth="1"/>
    <col min="14603" max="14605" width="13.7109375" style="129" customWidth="1"/>
    <col min="14606" max="14606" width="14.85546875" style="129" customWidth="1"/>
    <col min="14607" max="14607" width="20.85546875" style="129" customWidth="1"/>
    <col min="14608" max="14609" width="14.7109375" style="129" customWidth="1"/>
    <col min="14610" max="14851" width="9.140625" style="129"/>
    <col min="14852" max="14852" width="5.28515625" style="129" customWidth="1"/>
    <col min="14853" max="14853" width="18.7109375" style="129" customWidth="1"/>
    <col min="14854" max="14854" width="14.7109375" style="129" customWidth="1"/>
    <col min="14855" max="14858" width="12.7109375" style="129" customWidth="1"/>
    <col min="14859" max="14861" width="13.7109375" style="129" customWidth="1"/>
    <col min="14862" max="14862" width="14.85546875" style="129" customWidth="1"/>
    <col min="14863" max="14863" width="20.85546875" style="129" customWidth="1"/>
    <col min="14864" max="14865" width="14.7109375" style="129" customWidth="1"/>
    <col min="14866" max="15107" width="9.140625" style="129"/>
    <col min="15108" max="15108" width="5.28515625" style="129" customWidth="1"/>
    <col min="15109" max="15109" width="18.7109375" style="129" customWidth="1"/>
    <col min="15110" max="15110" width="14.7109375" style="129" customWidth="1"/>
    <col min="15111" max="15114" width="12.7109375" style="129" customWidth="1"/>
    <col min="15115" max="15117" width="13.7109375" style="129" customWidth="1"/>
    <col min="15118" max="15118" width="14.85546875" style="129" customWidth="1"/>
    <col min="15119" max="15119" width="20.85546875" style="129" customWidth="1"/>
    <col min="15120" max="15121" width="14.7109375" style="129" customWidth="1"/>
    <col min="15122" max="15363" width="9.140625" style="129"/>
    <col min="15364" max="15364" width="5.28515625" style="129" customWidth="1"/>
    <col min="15365" max="15365" width="18.7109375" style="129" customWidth="1"/>
    <col min="15366" max="15366" width="14.7109375" style="129" customWidth="1"/>
    <col min="15367" max="15370" width="12.7109375" style="129" customWidth="1"/>
    <col min="15371" max="15373" width="13.7109375" style="129" customWidth="1"/>
    <col min="15374" max="15374" width="14.85546875" style="129" customWidth="1"/>
    <col min="15375" max="15375" width="20.85546875" style="129" customWidth="1"/>
    <col min="15376" max="15377" width="14.7109375" style="129" customWidth="1"/>
    <col min="15378" max="15619" width="9.140625" style="129"/>
    <col min="15620" max="15620" width="5.28515625" style="129" customWidth="1"/>
    <col min="15621" max="15621" width="18.7109375" style="129" customWidth="1"/>
    <col min="15622" max="15622" width="14.7109375" style="129" customWidth="1"/>
    <col min="15623" max="15626" width="12.7109375" style="129" customWidth="1"/>
    <col min="15627" max="15629" width="13.7109375" style="129" customWidth="1"/>
    <col min="15630" max="15630" width="14.85546875" style="129" customWidth="1"/>
    <col min="15631" max="15631" width="20.85546875" style="129" customWidth="1"/>
    <col min="15632" max="15633" width="14.7109375" style="129" customWidth="1"/>
    <col min="15634" max="15875" width="9.140625" style="129"/>
    <col min="15876" max="15876" width="5.28515625" style="129" customWidth="1"/>
    <col min="15877" max="15877" width="18.7109375" style="129" customWidth="1"/>
    <col min="15878" max="15878" width="14.7109375" style="129" customWidth="1"/>
    <col min="15879" max="15882" width="12.7109375" style="129" customWidth="1"/>
    <col min="15883" max="15885" width="13.7109375" style="129" customWidth="1"/>
    <col min="15886" max="15886" width="14.85546875" style="129" customWidth="1"/>
    <col min="15887" max="15887" width="20.85546875" style="129" customWidth="1"/>
    <col min="15888" max="15889" width="14.7109375" style="129" customWidth="1"/>
    <col min="15890" max="16131" width="9.140625" style="129"/>
    <col min="16132" max="16132" width="5.28515625" style="129" customWidth="1"/>
    <col min="16133" max="16133" width="18.7109375" style="129" customWidth="1"/>
    <col min="16134" max="16134" width="14.7109375" style="129" customWidth="1"/>
    <col min="16135" max="16138" width="12.7109375" style="129" customWidth="1"/>
    <col min="16139" max="16141" width="13.7109375" style="129" customWidth="1"/>
    <col min="16142" max="16142" width="14.85546875" style="129" customWidth="1"/>
    <col min="16143" max="16143" width="20.85546875" style="129" customWidth="1"/>
    <col min="16144" max="16145" width="14.7109375" style="129" customWidth="1"/>
    <col min="16146" max="16384" width="9.140625" style="129"/>
  </cols>
  <sheetData>
    <row r="1" spans="1:23" ht="21.95" x14ac:dyDescent="0.4">
      <c r="B1" s="188"/>
      <c r="O1" s="282"/>
      <c r="P1" s="282"/>
    </row>
    <row r="2" spans="1:23" ht="18.95" x14ac:dyDescent="0.4">
      <c r="O2" s="283"/>
      <c r="P2" s="283"/>
    </row>
    <row r="3" spans="1:23" ht="30" x14ac:dyDescent="0.4">
      <c r="A3" s="288" t="s">
        <v>140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288"/>
    </row>
    <row r="4" spans="1:23" ht="30" x14ac:dyDescent="0.25">
      <c r="A4" s="273" t="s">
        <v>141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</row>
    <row r="5" spans="1:23" ht="30" x14ac:dyDescent="0.25">
      <c r="A5" s="274" t="s">
        <v>174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</row>
    <row r="6" spans="1:23" ht="23.25" x14ac:dyDescent="0.35">
      <c r="A6" s="189" t="s">
        <v>149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</row>
    <row r="7" spans="1:23" s="200" customFormat="1" ht="24" x14ac:dyDescent="0.25">
      <c r="A7" s="284" t="s">
        <v>128</v>
      </c>
      <c r="B7" s="284" t="s">
        <v>93</v>
      </c>
      <c r="C7" s="284" t="s">
        <v>4</v>
      </c>
      <c r="D7" s="284" t="s">
        <v>136</v>
      </c>
      <c r="E7" s="284" t="s">
        <v>129</v>
      </c>
      <c r="F7" s="284" t="s">
        <v>19</v>
      </c>
      <c r="G7" s="284" t="s">
        <v>130</v>
      </c>
      <c r="H7" s="275" t="s">
        <v>131</v>
      </c>
      <c r="I7" s="276"/>
      <c r="J7" s="276"/>
      <c r="K7" s="276"/>
      <c r="L7" s="276"/>
      <c r="M7" s="276"/>
      <c r="N7" s="276"/>
      <c r="O7" s="277"/>
      <c r="P7" s="286" t="s">
        <v>124</v>
      </c>
      <c r="Q7" s="284" t="s">
        <v>135</v>
      </c>
    </row>
    <row r="8" spans="1:23" s="204" customFormat="1" ht="47.25" customHeight="1" x14ac:dyDescent="0.3">
      <c r="A8" s="285"/>
      <c r="B8" s="285"/>
      <c r="C8" s="285"/>
      <c r="D8" s="285"/>
      <c r="E8" s="285"/>
      <c r="F8" s="285"/>
      <c r="G8" s="285"/>
      <c r="H8" s="201" t="s">
        <v>104</v>
      </c>
      <c r="I8" s="201" t="s">
        <v>123</v>
      </c>
      <c r="J8" s="201" t="s">
        <v>105</v>
      </c>
      <c r="K8" s="202" t="s">
        <v>132</v>
      </c>
      <c r="L8" s="203" t="s">
        <v>133</v>
      </c>
      <c r="M8" s="202" t="s">
        <v>137</v>
      </c>
      <c r="N8" s="202" t="s">
        <v>134</v>
      </c>
      <c r="O8" s="202" t="s">
        <v>42</v>
      </c>
      <c r="P8" s="287"/>
      <c r="Q8" s="287"/>
    </row>
    <row r="9" spans="1:23" s="204" customFormat="1" ht="20.100000000000001" customHeight="1" x14ac:dyDescent="0.3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6"/>
      <c r="L9" s="206"/>
      <c r="M9" s="206"/>
      <c r="N9" s="206"/>
      <c r="O9" s="206"/>
      <c r="P9" s="207"/>
      <c r="Q9" s="207"/>
    </row>
    <row r="10" spans="1:23" s="212" customFormat="1" ht="132.75" customHeight="1" x14ac:dyDescent="0.35">
      <c r="A10" s="208">
        <v>1</v>
      </c>
      <c r="B10" s="209" t="str">
        <f>'Nominatif Format Baru'!B11</f>
        <v>Ir. Irawan Rusnadi, M.T.
ST No. 0361/PL6.4.2/ST/2026
Tanggal 15 Januari 2026</v>
      </c>
      <c r="C10" s="210" t="str">
        <f>'Nominatif Format Baru'!C11</f>
        <v>196702021994031004</v>
      </c>
      <c r="D10" s="211" t="str">
        <f>'Nominatif Format Baru'!D11</f>
        <v>Pembina Utama Muda/IV/c</v>
      </c>
      <c r="E10" s="212" t="str">
        <f>'Nominatif Format Baru'!E11</f>
        <v>Jakarta</v>
      </c>
      <c r="F10" s="213" t="str">
        <f>'Nominatif Format Baru'!F11</f>
        <v>20-21/01/2026</v>
      </c>
      <c r="G10" s="212" t="str">
        <f>'Nominatif Format Baru'!G11</f>
        <v>2 Hari</v>
      </c>
      <c r="H10" s="214">
        <f>'Nominatif Format Baru'!H11</f>
        <v>2529207</v>
      </c>
      <c r="I10" s="215"/>
      <c r="J10" s="215"/>
      <c r="K10" s="216"/>
      <c r="L10" s="217">
        <f>'Nominatif Format Baru'!L11</f>
        <v>1350928</v>
      </c>
      <c r="M10" s="216"/>
      <c r="N10" s="216"/>
      <c r="O10" s="216">
        <f>SUM(H10:N10)</f>
        <v>3880135</v>
      </c>
      <c r="P10" s="218" t="s">
        <v>157</v>
      </c>
      <c r="Q10" s="219"/>
      <c r="R10" s="200"/>
      <c r="S10" s="200"/>
      <c r="T10" s="200"/>
      <c r="U10" s="200"/>
      <c r="V10" s="200"/>
      <c r="W10" s="200"/>
    </row>
    <row r="11" spans="1:23" s="200" customFormat="1" ht="126.75" customHeight="1" x14ac:dyDescent="0.35">
      <c r="A11" s="208">
        <v>2</v>
      </c>
      <c r="B11" s="209" t="str">
        <f>'Nominatif Format Baru'!B12</f>
        <v>Dr. Irma Salamah, S.T., M.TI.
ST No. 0361/PL6.4.2/ST/2026
Tanggal 15 Januari 2026</v>
      </c>
      <c r="C11" s="210" t="str">
        <f>'Nominatif Format Baru'!C12</f>
        <v>197410221998022001</v>
      </c>
      <c r="D11" s="211" t="str">
        <f>'Nominatif Format Baru'!D12</f>
        <v>Pembina Tk. I/IV/b</v>
      </c>
      <c r="E11" s="212" t="str">
        <f>'Nominatif Format Baru'!E12</f>
        <v>Jakarta</v>
      </c>
      <c r="F11" s="213" t="str">
        <f>'Nominatif Format Baru'!F12</f>
        <v>20-21/01/2026</v>
      </c>
      <c r="G11" s="212" t="str">
        <f>'Nominatif Format Baru'!G12</f>
        <v>2 Hari</v>
      </c>
      <c r="H11" s="214">
        <f>'Nominatif Format Baru'!H12</f>
        <v>2429270</v>
      </c>
      <c r="I11" s="215"/>
      <c r="J11" s="215"/>
      <c r="K11" s="216"/>
      <c r="L11" s="217">
        <f>'Nominatif Format Baru'!L12</f>
        <v>1350928</v>
      </c>
      <c r="M11" s="216"/>
      <c r="N11" s="216"/>
      <c r="O11" s="216">
        <f t="shared" ref="O11:O13" si="0">SUM(H11:N11)</f>
        <v>3780198</v>
      </c>
      <c r="P11" s="218" t="s">
        <v>157</v>
      </c>
      <c r="Q11" s="220"/>
    </row>
    <row r="12" spans="1:23" s="200" customFormat="1" ht="126.75" customHeight="1" x14ac:dyDescent="0.35">
      <c r="A12" s="208">
        <v>3</v>
      </c>
      <c r="B12" s="209" t="str">
        <f>'Nominatif Format Baru'!B13</f>
        <v>Dr. Selamat Muslimin, S.T., M.Kom
ST No. 0361/PL6.4.2/ST/2026
Tanggal 15 Januari 2026</v>
      </c>
      <c r="C12" s="210" t="str">
        <f>'Nominatif Format Baru'!C13</f>
        <v>197907222008011007</v>
      </c>
      <c r="D12" s="211" t="str">
        <f>'Nominatif Format Baru'!D13</f>
        <v>Penata Tk. I/III/d</v>
      </c>
      <c r="E12" s="212" t="str">
        <f>'Nominatif Format Baru'!E13</f>
        <v>Jakarta</v>
      </c>
      <c r="F12" s="213" t="str">
        <f>'Nominatif Format Baru'!F13</f>
        <v>20-21/01/2026</v>
      </c>
      <c r="G12" s="212" t="str">
        <f>'Nominatif Format Baru'!G13</f>
        <v>2 Hari</v>
      </c>
      <c r="H12" s="214">
        <f>'Nominatif Format Baru'!H13</f>
        <v>2529207</v>
      </c>
      <c r="I12" s="215"/>
      <c r="J12" s="215"/>
      <c r="K12" s="216"/>
      <c r="L12" s="217"/>
      <c r="M12" s="216"/>
      <c r="N12" s="216"/>
      <c r="O12" s="216">
        <f t="shared" si="0"/>
        <v>2529207</v>
      </c>
      <c r="P12" s="218" t="s">
        <v>157</v>
      </c>
      <c r="Q12" s="220"/>
    </row>
    <row r="13" spans="1:23" s="200" customFormat="1" ht="126.75" customHeight="1" x14ac:dyDescent="0.35">
      <c r="A13" s="208">
        <v>4</v>
      </c>
      <c r="B13" s="209" t="str">
        <f>'Nominatif Format Baru'!B14</f>
        <v>Prof. Dr. Ir. Rusdianasari, M.Si
ST No. 0361/PL6.4.2/ST/2026
Tanggal 15 Januari 2026</v>
      </c>
      <c r="C13" s="210" t="str">
        <f>'Nominatif Format Baru'!C14</f>
        <v>196711191993032003</v>
      </c>
      <c r="D13" s="211" t="str">
        <f>'Nominatif Format Baru'!D14</f>
        <v>Pembina Utama/IV/e</v>
      </c>
      <c r="E13" s="212" t="str">
        <f>'Nominatif Format Baru'!E14</f>
        <v>Jakarta</v>
      </c>
      <c r="F13" s="213" t="str">
        <f>'Nominatif Format Baru'!F14</f>
        <v>20-21/01/2026</v>
      </c>
      <c r="G13" s="212" t="str">
        <f>'Nominatif Format Baru'!G14</f>
        <v>2 Hari</v>
      </c>
      <c r="H13" s="214">
        <f>'Nominatif Format Baru'!H14</f>
        <v>2529207</v>
      </c>
      <c r="I13" s="215"/>
      <c r="J13" s="215"/>
      <c r="K13" s="216"/>
      <c r="L13" s="217"/>
      <c r="M13" s="216"/>
      <c r="N13" s="216"/>
      <c r="O13" s="216">
        <f t="shared" si="0"/>
        <v>2529207</v>
      </c>
      <c r="P13" s="218" t="s">
        <v>157</v>
      </c>
      <c r="Q13" s="220"/>
    </row>
    <row r="14" spans="1:23" s="226" customFormat="1" ht="30" customHeight="1" x14ac:dyDescent="0.3">
      <c r="A14" s="278" t="s">
        <v>106</v>
      </c>
      <c r="B14" s="279"/>
      <c r="C14" s="279"/>
      <c r="D14" s="279"/>
      <c r="E14" s="279"/>
      <c r="F14" s="279"/>
      <c r="G14" s="279"/>
      <c r="H14" s="279"/>
      <c r="I14" s="279"/>
      <c r="J14" s="279"/>
      <c r="K14" s="221">
        <f>SUM(K10:K10)</f>
        <v>0</v>
      </c>
      <c r="L14" s="221">
        <f>SUM(L10:L13)</f>
        <v>2701856</v>
      </c>
      <c r="M14" s="221">
        <f>SUM(M10:M10)</f>
        <v>0</v>
      </c>
      <c r="N14" s="221">
        <f>SUM(N10:N10)</f>
        <v>0</v>
      </c>
      <c r="O14" s="221">
        <f>SUM(O10:O13)</f>
        <v>12718747</v>
      </c>
      <c r="P14" s="222"/>
      <c r="Q14" s="222"/>
      <c r="R14" s="223"/>
      <c r="S14" s="224"/>
      <c r="T14" s="225"/>
      <c r="U14" s="225"/>
      <c r="V14" s="225"/>
    </row>
    <row r="15" spans="1:23" s="226" customFormat="1" ht="30" customHeight="1" x14ac:dyDescent="0.3">
      <c r="A15" s="278" t="s">
        <v>107</v>
      </c>
      <c r="B15" s="279"/>
      <c r="C15" s="227"/>
      <c r="D15" s="228"/>
      <c r="E15" s="227"/>
      <c r="F15" s="280" t="str">
        <f>[1]!terbilang(O14,4,"Rupiah,-")</f>
        <v>Dua belas juta tujuh ratus delapan belas ribu tujuh ratus empat puluh tujuh rupiah,-</v>
      </c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1"/>
    </row>
    <row r="16" spans="1:23" s="204" customFormat="1" ht="23.25" x14ac:dyDescent="0.3">
      <c r="H16" s="204" t="s">
        <v>2</v>
      </c>
    </row>
    <row r="17" spans="2:20" s="204" customFormat="1" ht="23.25" x14ac:dyDescent="0.3"/>
    <row r="18" spans="2:20" s="316" customFormat="1" ht="23.25" x14ac:dyDescent="0.35">
      <c r="B18" s="317" t="s">
        <v>108</v>
      </c>
      <c r="C18" s="317"/>
      <c r="D18" s="317"/>
      <c r="E18" s="318" t="s">
        <v>2</v>
      </c>
      <c r="O18" s="317" t="s">
        <v>206</v>
      </c>
      <c r="P18" s="317"/>
      <c r="Q18" s="317"/>
      <c r="T18" s="317"/>
    </row>
    <row r="19" spans="2:20" s="316" customFormat="1" ht="23.25" x14ac:dyDescent="0.35">
      <c r="B19" s="316" t="s">
        <v>138</v>
      </c>
      <c r="C19" s="317"/>
      <c r="D19" s="317"/>
      <c r="E19" s="318"/>
      <c r="F19" s="316" t="s">
        <v>109</v>
      </c>
      <c r="O19" s="316" t="s">
        <v>2</v>
      </c>
    </row>
    <row r="20" spans="2:20" s="316" customFormat="1" ht="23.25" x14ac:dyDescent="0.35">
      <c r="C20" s="317"/>
      <c r="D20" s="317"/>
      <c r="E20" s="318"/>
      <c r="H20" s="316" t="s">
        <v>2</v>
      </c>
    </row>
    <row r="21" spans="2:20" s="316" customFormat="1" ht="23.25" x14ac:dyDescent="0.35">
      <c r="C21" s="317"/>
      <c r="D21" s="317"/>
      <c r="E21" s="318"/>
      <c r="H21" s="316" t="s">
        <v>149</v>
      </c>
    </row>
    <row r="22" spans="2:20" s="316" customFormat="1" ht="23.25" x14ac:dyDescent="0.35">
      <c r="C22" s="317"/>
      <c r="D22" s="317"/>
      <c r="E22" s="318"/>
    </row>
    <row r="23" spans="2:20" s="316" customFormat="1" ht="23.25" x14ac:dyDescent="0.35">
      <c r="C23" s="317"/>
      <c r="D23" s="317"/>
      <c r="E23" s="318"/>
    </row>
    <row r="24" spans="2:20" s="316" customFormat="1" ht="23.25" x14ac:dyDescent="0.35">
      <c r="B24" s="316" t="s">
        <v>156</v>
      </c>
      <c r="C24" s="317"/>
      <c r="D24" s="317"/>
      <c r="E24" s="318"/>
      <c r="O24" s="316" t="s">
        <v>125</v>
      </c>
    </row>
    <row r="25" spans="2:20" s="316" customFormat="1" ht="23.25" x14ac:dyDescent="0.35">
      <c r="B25" s="317" t="s">
        <v>173</v>
      </c>
      <c r="C25" s="317"/>
      <c r="D25" s="317"/>
      <c r="E25" s="318"/>
      <c r="O25" s="323" t="s">
        <v>126</v>
      </c>
      <c r="P25" s="323"/>
      <c r="Q25" s="324"/>
      <c r="R25" s="324"/>
      <c r="T25" s="317"/>
    </row>
    <row r="26" spans="2:20" s="163" customFormat="1" x14ac:dyDescent="0.25">
      <c r="B26" s="164"/>
      <c r="C26" s="164"/>
      <c r="D26" s="164"/>
      <c r="E26" s="165"/>
      <c r="F26" s="165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7"/>
      <c r="S26" s="167"/>
      <c r="T26" s="166"/>
    </row>
    <row r="27" spans="2:20" s="163" customFormat="1" x14ac:dyDescent="0.25"/>
  </sheetData>
  <mergeCells count="19">
    <mergeCell ref="O25:R25"/>
    <mergeCell ref="O1:P1"/>
    <mergeCell ref="O2:P2"/>
    <mergeCell ref="A7:A8"/>
    <mergeCell ref="B7:B8"/>
    <mergeCell ref="C7:C8"/>
    <mergeCell ref="D7:D8"/>
    <mergeCell ref="E7:E8"/>
    <mergeCell ref="F7:F8"/>
    <mergeCell ref="G7:G8"/>
    <mergeCell ref="P7:P8"/>
    <mergeCell ref="Q7:Q8"/>
    <mergeCell ref="A3:U3"/>
    <mergeCell ref="A4:U4"/>
    <mergeCell ref="A5:U5"/>
    <mergeCell ref="H7:O7"/>
    <mergeCell ref="A14:J14"/>
    <mergeCell ref="A15:B15"/>
    <mergeCell ref="F15:Q15"/>
  </mergeCells>
  <printOptions horizontalCentered="1"/>
  <pageMargins left="0.19685039370078741" right="0" top="0.94488188976377963" bottom="0.74803149606299213" header="0.31496062992125984" footer="0.31496062992125984"/>
  <pageSetup paperSize="9" scale="37" orientation="landscape" r:id="rId1"/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27"/>
  <sheetViews>
    <sheetView view="pageBreakPreview" topLeftCell="A4" zoomScale="50" zoomScaleNormal="70" zoomScaleSheetLayoutView="50" workbookViewId="0">
      <selection activeCell="C23" sqref="C23"/>
    </sheetView>
  </sheetViews>
  <sheetFormatPr defaultRowHeight="18.75" x14ac:dyDescent="0.25"/>
  <cols>
    <col min="1" max="1" width="7.140625" style="129" bestFit="1" customWidth="1"/>
    <col min="2" max="2" width="54" style="129" customWidth="1"/>
    <col min="3" max="3" width="37.85546875" style="129" customWidth="1"/>
    <col min="4" max="4" width="22.140625" style="129" customWidth="1"/>
    <col min="5" max="5" width="20.7109375" style="129" bestFit="1" customWidth="1"/>
    <col min="6" max="6" width="25.42578125" style="129" customWidth="1"/>
    <col min="7" max="7" width="21.42578125" style="129" customWidth="1"/>
    <col min="8" max="8" width="13.85546875" style="129" customWidth="1"/>
    <col min="9" max="9" width="19.42578125" style="129" customWidth="1"/>
    <col min="10" max="10" width="19.5703125" style="129" customWidth="1"/>
    <col min="11" max="11" width="17.28515625" style="129" hidden="1" customWidth="1"/>
    <col min="12" max="12" width="22.5703125" style="129" customWidth="1"/>
    <col min="13" max="13" width="21" style="129" bestFit="1" customWidth="1"/>
    <col min="14" max="14" width="26.7109375" style="129" customWidth="1"/>
    <col min="15" max="15" width="22.7109375" style="129" customWidth="1"/>
    <col min="16" max="16" width="29.85546875" style="129" bestFit="1" customWidth="1"/>
    <col min="17" max="17" width="15.140625" style="129" customWidth="1"/>
    <col min="18" max="18" width="9.140625" style="129" hidden="1" customWidth="1"/>
    <col min="19" max="259" width="9.140625" style="129"/>
    <col min="260" max="260" width="5.28515625" style="129" customWidth="1"/>
    <col min="261" max="261" width="18.7109375" style="129" customWidth="1"/>
    <col min="262" max="262" width="14.7109375" style="129" customWidth="1"/>
    <col min="263" max="266" width="12.7109375" style="129" customWidth="1"/>
    <col min="267" max="269" width="13.7109375" style="129" customWidth="1"/>
    <col min="270" max="270" width="14.85546875" style="129" customWidth="1"/>
    <col min="271" max="271" width="20.85546875" style="129" customWidth="1"/>
    <col min="272" max="273" width="14.7109375" style="129" customWidth="1"/>
    <col min="274" max="515" width="9.140625" style="129"/>
    <col min="516" max="516" width="5.28515625" style="129" customWidth="1"/>
    <col min="517" max="517" width="18.7109375" style="129" customWidth="1"/>
    <col min="518" max="518" width="14.7109375" style="129" customWidth="1"/>
    <col min="519" max="522" width="12.7109375" style="129" customWidth="1"/>
    <col min="523" max="525" width="13.7109375" style="129" customWidth="1"/>
    <col min="526" max="526" width="14.85546875" style="129" customWidth="1"/>
    <col min="527" max="527" width="20.85546875" style="129" customWidth="1"/>
    <col min="528" max="529" width="14.7109375" style="129" customWidth="1"/>
    <col min="530" max="771" width="9.140625" style="129"/>
    <col min="772" max="772" width="5.28515625" style="129" customWidth="1"/>
    <col min="773" max="773" width="18.7109375" style="129" customWidth="1"/>
    <col min="774" max="774" width="14.7109375" style="129" customWidth="1"/>
    <col min="775" max="778" width="12.7109375" style="129" customWidth="1"/>
    <col min="779" max="781" width="13.7109375" style="129" customWidth="1"/>
    <col min="782" max="782" width="14.85546875" style="129" customWidth="1"/>
    <col min="783" max="783" width="20.85546875" style="129" customWidth="1"/>
    <col min="784" max="785" width="14.7109375" style="129" customWidth="1"/>
    <col min="786" max="1027" width="9.140625" style="129"/>
    <col min="1028" max="1028" width="5.28515625" style="129" customWidth="1"/>
    <col min="1029" max="1029" width="18.7109375" style="129" customWidth="1"/>
    <col min="1030" max="1030" width="14.7109375" style="129" customWidth="1"/>
    <col min="1031" max="1034" width="12.7109375" style="129" customWidth="1"/>
    <col min="1035" max="1037" width="13.7109375" style="129" customWidth="1"/>
    <col min="1038" max="1038" width="14.85546875" style="129" customWidth="1"/>
    <col min="1039" max="1039" width="20.85546875" style="129" customWidth="1"/>
    <col min="1040" max="1041" width="14.7109375" style="129" customWidth="1"/>
    <col min="1042" max="1283" width="9.140625" style="129"/>
    <col min="1284" max="1284" width="5.28515625" style="129" customWidth="1"/>
    <col min="1285" max="1285" width="18.7109375" style="129" customWidth="1"/>
    <col min="1286" max="1286" width="14.7109375" style="129" customWidth="1"/>
    <col min="1287" max="1290" width="12.7109375" style="129" customWidth="1"/>
    <col min="1291" max="1293" width="13.7109375" style="129" customWidth="1"/>
    <col min="1294" max="1294" width="14.85546875" style="129" customWidth="1"/>
    <col min="1295" max="1295" width="20.85546875" style="129" customWidth="1"/>
    <col min="1296" max="1297" width="14.7109375" style="129" customWidth="1"/>
    <col min="1298" max="1539" width="9.140625" style="129"/>
    <col min="1540" max="1540" width="5.28515625" style="129" customWidth="1"/>
    <col min="1541" max="1541" width="18.7109375" style="129" customWidth="1"/>
    <col min="1542" max="1542" width="14.7109375" style="129" customWidth="1"/>
    <col min="1543" max="1546" width="12.7109375" style="129" customWidth="1"/>
    <col min="1547" max="1549" width="13.7109375" style="129" customWidth="1"/>
    <col min="1550" max="1550" width="14.85546875" style="129" customWidth="1"/>
    <col min="1551" max="1551" width="20.85546875" style="129" customWidth="1"/>
    <col min="1552" max="1553" width="14.7109375" style="129" customWidth="1"/>
    <col min="1554" max="1795" width="9.140625" style="129"/>
    <col min="1796" max="1796" width="5.28515625" style="129" customWidth="1"/>
    <col min="1797" max="1797" width="18.7109375" style="129" customWidth="1"/>
    <col min="1798" max="1798" width="14.7109375" style="129" customWidth="1"/>
    <col min="1799" max="1802" width="12.7109375" style="129" customWidth="1"/>
    <col min="1803" max="1805" width="13.7109375" style="129" customWidth="1"/>
    <col min="1806" max="1806" width="14.85546875" style="129" customWidth="1"/>
    <col min="1807" max="1807" width="20.85546875" style="129" customWidth="1"/>
    <col min="1808" max="1809" width="14.7109375" style="129" customWidth="1"/>
    <col min="1810" max="2051" width="9.140625" style="129"/>
    <col min="2052" max="2052" width="5.28515625" style="129" customWidth="1"/>
    <col min="2053" max="2053" width="18.7109375" style="129" customWidth="1"/>
    <col min="2054" max="2054" width="14.7109375" style="129" customWidth="1"/>
    <col min="2055" max="2058" width="12.7109375" style="129" customWidth="1"/>
    <col min="2059" max="2061" width="13.7109375" style="129" customWidth="1"/>
    <col min="2062" max="2062" width="14.85546875" style="129" customWidth="1"/>
    <col min="2063" max="2063" width="20.85546875" style="129" customWidth="1"/>
    <col min="2064" max="2065" width="14.7109375" style="129" customWidth="1"/>
    <col min="2066" max="2307" width="9.140625" style="129"/>
    <col min="2308" max="2308" width="5.28515625" style="129" customWidth="1"/>
    <col min="2309" max="2309" width="18.7109375" style="129" customWidth="1"/>
    <col min="2310" max="2310" width="14.7109375" style="129" customWidth="1"/>
    <col min="2311" max="2314" width="12.7109375" style="129" customWidth="1"/>
    <col min="2315" max="2317" width="13.7109375" style="129" customWidth="1"/>
    <col min="2318" max="2318" width="14.85546875" style="129" customWidth="1"/>
    <col min="2319" max="2319" width="20.85546875" style="129" customWidth="1"/>
    <col min="2320" max="2321" width="14.7109375" style="129" customWidth="1"/>
    <col min="2322" max="2563" width="9.140625" style="129"/>
    <col min="2564" max="2564" width="5.28515625" style="129" customWidth="1"/>
    <col min="2565" max="2565" width="18.7109375" style="129" customWidth="1"/>
    <col min="2566" max="2566" width="14.7109375" style="129" customWidth="1"/>
    <col min="2567" max="2570" width="12.7109375" style="129" customWidth="1"/>
    <col min="2571" max="2573" width="13.7109375" style="129" customWidth="1"/>
    <col min="2574" max="2574" width="14.85546875" style="129" customWidth="1"/>
    <col min="2575" max="2575" width="20.85546875" style="129" customWidth="1"/>
    <col min="2576" max="2577" width="14.7109375" style="129" customWidth="1"/>
    <col min="2578" max="2819" width="9.140625" style="129"/>
    <col min="2820" max="2820" width="5.28515625" style="129" customWidth="1"/>
    <col min="2821" max="2821" width="18.7109375" style="129" customWidth="1"/>
    <col min="2822" max="2822" width="14.7109375" style="129" customWidth="1"/>
    <col min="2823" max="2826" width="12.7109375" style="129" customWidth="1"/>
    <col min="2827" max="2829" width="13.7109375" style="129" customWidth="1"/>
    <col min="2830" max="2830" width="14.85546875" style="129" customWidth="1"/>
    <col min="2831" max="2831" width="20.85546875" style="129" customWidth="1"/>
    <col min="2832" max="2833" width="14.7109375" style="129" customWidth="1"/>
    <col min="2834" max="3075" width="9.140625" style="129"/>
    <col min="3076" max="3076" width="5.28515625" style="129" customWidth="1"/>
    <col min="3077" max="3077" width="18.7109375" style="129" customWidth="1"/>
    <col min="3078" max="3078" width="14.7109375" style="129" customWidth="1"/>
    <col min="3079" max="3082" width="12.7109375" style="129" customWidth="1"/>
    <col min="3083" max="3085" width="13.7109375" style="129" customWidth="1"/>
    <col min="3086" max="3086" width="14.85546875" style="129" customWidth="1"/>
    <col min="3087" max="3087" width="20.85546875" style="129" customWidth="1"/>
    <col min="3088" max="3089" width="14.7109375" style="129" customWidth="1"/>
    <col min="3090" max="3331" width="9.140625" style="129"/>
    <col min="3332" max="3332" width="5.28515625" style="129" customWidth="1"/>
    <col min="3333" max="3333" width="18.7109375" style="129" customWidth="1"/>
    <col min="3334" max="3334" width="14.7109375" style="129" customWidth="1"/>
    <col min="3335" max="3338" width="12.7109375" style="129" customWidth="1"/>
    <col min="3339" max="3341" width="13.7109375" style="129" customWidth="1"/>
    <col min="3342" max="3342" width="14.85546875" style="129" customWidth="1"/>
    <col min="3343" max="3343" width="20.85546875" style="129" customWidth="1"/>
    <col min="3344" max="3345" width="14.7109375" style="129" customWidth="1"/>
    <col min="3346" max="3587" width="9.140625" style="129"/>
    <col min="3588" max="3588" width="5.28515625" style="129" customWidth="1"/>
    <col min="3589" max="3589" width="18.7109375" style="129" customWidth="1"/>
    <col min="3590" max="3590" width="14.7109375" style="129" customWidth="1"/>
    <col min="3591" max="3594" width="12.7109375" style="129" customWidth="1"/>
    <col min="3595" max="3597" width="13.7109375" style="129" customWidth="1"/>
    <col min="3598" max="3598" width="14.85546875" style="129" customWidth="1"/>
    <col min="3599" max="3599" width="20.85546875" style="129" customWidth="1"/>
    <col min="3600" max="3601" width="14.7109375" style="129" customWidth="1"/>
    <col min="3602" max="3843" width="9.140625" style="129"/>
    <col min="3844" max="3844" width="5.28515625" style="129" customWidth="1"/>
    <col min="3845" max="3845" width="18.7109375" style="129" customWidth="1"/>
    <col min="3846" max="3846" width="14.7109375" style="129" customWidth="1"/>
    <col min="3847" max="3850" width="12.7109375" style="129" customWidth="1"/>
    <col min="3851" max="3853" width="13.7109375" style="129" customWidth="1"/>
    <col min="3854" max="3854" width="14.85546875" style="129" customWidth="1"/>
    <col min="3855" max="3855" width="20.85546875" style="129" customWidth="1"/>
    <col min="3856" max="3857" width="14.7109375" style="129" customWidth="1"/>
    <col min="3858" max="4099" width="9.140625" style="129"/>
    <col min="4100" max="4100" width="5.28515625" style="129" customWidth="1"/>
    <col min="4101" max="4101" width="18.7109375" style="129" customWidth="1"/>
    <col min="4102" max="4102" width="14.7109375" style="129" customWidth="1"/>
    <col min="4103" max="4106" width="12.7109375" style="129" customWidth="1"/>
    <col min="4107" max="4109" width="13.7109375" style="129" customWidth="1"/>
    <col min="4110" max="4110" width="14.85546875" style="129" customWidth="1"/>
    <col min="4111" max="4111" width="20.85546875" style="129" customWidth="1"/>
    <col min="4112" max="4113" width="14.7109375" style="129" customWidth="1"/>
    <col min="4114" max="4355" width="9.140625" style="129"/>
    <col min="4356" max="4356" width="5.28515625" style="129" customWidth="1"/>
    <col min="4357" max="4357" width="18.7109375" style="129" customWidth="1"/>
    <col min="4358" max="4358" width="14.7109375" style="129" customWidth="1"/>
    <col min="4359" max="4362" width="12.7109375" style="129" customWidth="1"/>
    <col min="4363" max="4365" width="13.7109375" style="129" customWidth="1"/>
    <col min="4366" max="4366" width="14.85546875" style="129" customWidth="1"/>
    <col min="4367" max="4367" width="20.85546875" style="129" customWidth="1"/>
    <col min="4368" max="4369" width="14.7109375" style="129" customWidth="1"/>
    <col min="4370" max="4611" width="9.140625" style="129"/>
    <col min="4612" max="4612" width="5.28515625" style="129" customWidth="1"/>
    <col min="4613" max="4613" width="18.7109375" style="129" customWidth="1"/>
    <col min="4614" max="4614" width="14.7109375" style="129" customWidth="1"/>
    <col min="4615" max="4618" width="12.7109375" style="129" customWidth="1"/>
    <col min="4619" max="4621" width="13.7109375" style="129" customWidth="1"/>
    <col min="4622" max="4622" width="14.85546875" style="129" customWidth="1"/>
    <col min="4623" max="4623" width="20.85546875" style="129" customWidth="1"/>
    <col min="4624" max="4625" width="14.7109375" style="129" customWidth="1"/>
    <col min="4626" max="4867" width="9.140625" style="129"/>
    <col min="4868" max="4868" width="5.28515625" style="129" customWidth="1"/>
    <col min="4869" max="4869" width="18.7109375" style="129" customWidth="1"/>
    <col min="4870" max="4870" width="14.7109375" style="129" customWidth="1"/>
    <col min="4871" max="4874" width="12.7109375" style="129" customWidth="1"/>
    <col min="4875" max="4877" width="13.7109375" style="129" customWidth="1"/>
    <col min="4878" max="4878" width="14.85546875" style="129" customWidth="1"/>
    <col min="4879" max="4879" width="20.85546875" style="129" customWidth="1"/>
    <col min="4880" max="4881" width="14.7109375" style="129" customWidth="1"/>
    <col min="4882" max="5123" width="9.140625" style="129"/>
    <col min="5124" max="5124" width="5.28515625" style="129" customWidth="1"/>
    <col min="5125" max="5125" width="18.7109375" style="129" customWidth="1"/>
    <col min="5126" max="5126" width="14.7109375" style="129" customWidth="1"/>
    <col min="5127" max="5130" width="12.7109375" style="129" customWidth="1"/>
    <col min="5131" max="5133" width="13.7109375" style="129" customWidth="1"/>
    <col min="5134" max="5134" width="14.85546875" style="129" customWidth="1"/>
    <col min="5135" max="5135" width="20.85546875" style="129" customWidth="1"/>
    <col min="5136" max="5137" width="14.7109375" style="129" customWidth="1"/>
    <col min="5138" max="5379" width="9.140625" style="129"/>
    <col min="5380" max="5380" width="5.28515625" style="129" customWidth="1"/>
    <col min="5381" max="5381" width="18.7109375" style="129" customWidth="1"/>
    <col min="5382" max="5382" width="14.7109375" style="129" customWidth="1"/>
    <col min="5383" max="5386" width="12.7109375" style="129" customWidth="1"/>
    <col min="5387" max="5389" width="13.7109375" style="129" customWidth="1"/>
    <col min="5390" max="5390" width="14.85546875" style="129" customWidth="1"/>
    <col min="5391" max="5391" width="20.85546875" style="129" customWidth="1"/>
    <col min="5392" max="5393" width="14.7109375" style="129" customWidth="1"/>
    <col min="5394" max="5635" width="9.140625" style="129"/>
    <col min="5636" max="5636" width="5.28515625" style="129" customWidth="1"/>
    <col min="5637" max="5637" width="18.7109375" style="129" customWidth="1"/>
    <col min="5638" max="5638" width="14.7109375" style="129" customWidth="1"/>
    <col min="5639" max="5642" width="12.7109375" style="129" customWidth="1"/>
    <col min="5643" max="5645" width="13.7109375" style="129" customWidth="1"/>
    <col min="5646" max="5646" width="14.85546875" style="129" customWidth="1"/>
    <col min="5647" max="5647" width="20.85546875" style="129" customWidth="1"/>
    <col min="5648" max="5649" width="14.7109375" style="129" customWidth="1"/>
    <col min="5650" max="5891" width="9.140625" style="129"/>
    <col min="5892" max="5892" width="5.28515625" style="129" customWidth="1"/>
    <col min="5893" max="5893" width="18.7109375" style="129" customWidth="1"/>
    <col min="5894" max="5894" width="14.7109375" style="129" customWidth="1"/>
    <col min="5895" max="5898" width="12.7109375" style="129" customWidth="1"/>
    <col min="5899" max="5901" width="13.7109375" style="129" customWidth="1"/>
    <col min="5902" max="5902" width="14.85546875" style="129" customWidth="1"/>
    <col min="5903" max="5903" width="20.85546875" style="129" customWidth="1"/>
    <col min="5904" max="5905" width="14.7109375" style="129" customWidth="1"/>
    <col min="5906" max="6147" width="9.140625" style="129"/>
    <col min="6148" max="6148" width="5.28515625" style="129" customWidth="1"/>
    <col min="6149" max="6149" width="18.7109375" style="129" customWidth="1"/>
    <col min="6150" max="6150" width="14.7109375" style="129" customWidth="1"/>
    <col min="6151" max="6154" width="12.7109375" style="129" customWidth="1"/>
    <col min="6155" max="6157" width="13.7109375" style="129" customWidth="1"/>
    <col min="6158" max="6158" width="14.85546875" style="129" customWidth="1"/>
    <col min="6159" max="6159" width="20.85546875" style="129" customWidth="1"/>
    <col min="6160" max="6161" width="14.7109375" style="129" customWidth="1"/>
    <col min="6162" max="6403" width="9.140625" style="129"/>
    <col min="6404" max="6404" width="5.28515625" style="129" customWidth="1"/>
    <col min="6405" max="6405" width="18.7109375" style="129" customWidth="1"/>
    <col min="6406" max="6406" width="14.7109375" style="129" customWidth="1"/>
    <col min="6407" max="6410" width="12.7109375" style="129" customWidth="1"/>
    <col min="6411" max="6413" width="13.7109375" style="129" customWidth="1"/>
    <col min="6414" max="6414" width="14.85546875" style="129" customWidth="1"/>
    <col min="6415" max="6415" width="20.85546875" style="129" customWidth="1"/>
    <col min="6416" max="6417" width="14.7109375" style="129" customWidth="1"/>
    <col min="6418" max="6659" width="9.140625" style="129"/>
    <col min="6660" max="6660" width="5.28515625" style="129" customWidth="1"/>
    <col min="6661" max="6661" width="18.7109375" style="129" customWidth="1"/>
    <col min="6662" max="6662" width="14.7109375" style="129" customWidth="1"/>
    <col min="6663" max="6666" width="12.7109375" style="129" customWidth="1"/>
    <col min="6667" max="6669" width="13.7109375" style="129" customWidth="1"/>
    <col min="6670" max="6670" width="14.85546875" style="129" customWidth="1"/>
    <col min="6671" max="6671" width="20.85546875" style="129" customWidth="1"/>
    <col min="6672" max="6673" width="14.7109375" style="129" customWidth="1"/>
    <col min="6674" max="6915" width="9.140625" style="129"/>
    <col min="6916" max="6916" width="5.28515625" style="129" customWidth="1"/>
    <col min="6917" max="6917" width="18.7109375" style="129" customWidth="1"/>
    <col min="6918" max="6918" width="14.7109375" style="129" customWidth="1"/>
    <col min="6919" max="6922" width="12.7109375" style="129" customWidth="1"/>
    <col min="6923" max="6925" width="13.7109375" style="129" customWidth="1"/>
    <col min="6926" max="6926" width="14.85546875" style="129" customWidth="1"/>
    <col min="6927" max="6927" width="20.85546875" style="129" customWidth="1"/>
    <col min="6928" max="6929" width="14.7109375" style="129" customWidth="1"/>
    <col min="6930" max="7171" width="9.140625" style="129"/>
    <col min="7172" max="7172" width="5.28515625" style="129" customWidth="1"/>
    <col min="7173" max="7173" width="18.7109375" style="129" customWidth="1"/>
    <col min="7174" max="7174" width="14.7109375" style="129" customWidth="1"/>
    <col min="7175" max="7178" width="12.7109375" style="129" customWidth="1"/>
    <col min="7179" max="7181" width="13.7109375" style="129" customWidth="1"/>
    <col min="7182" max="7182" width="14.85546875" style="129" customWidth="1"/>
    <col min="7183" max="7183" width="20.85546875" style="129" customWidth="1"/>
    <col min="7184" max="7185" width="14.7109375" style="129" customWidth="1"/>
    <col min="7186" max="7427" width="9.140625" style="129"/>
    <col min="7428" max="7428" width="5.28515625" style="129" customWidth="1"/>
    <col min="7429" max="7429" width="18.7109375" style="129" customWidth="1"/>
    <col min="7430" max="7430" width="14.7109375" style="129" customWidth="1"/>
    <col min="7431" max="7434" width="12.7109375" style="129" customWidth="1"/>
    <col min="7435" max="7437" width="13.7109375" style="129" customWidth="1"/>
    <col min="7438" max="7438" width="14.85546875" style="129" customWidth="1"/>
    <col min="7439" max="7439" width="20.85546875" style="129" customWidth="1"/>
    <col min="7440" max="7441" width="14.7109375" style="129" customWidth="1"/>
    <col min="7442" max="7683" width="9.140625" style="129"/>
    <col min="7684" max="7684" width="5.28515625" style="129" customWidth="1"/>
    <col min="7685" max="7685" width="18.7109375" style="129" customWidth="1"/>
    <col min="7686" max="7686" width="14.7109375" style="129" customWidth="1"/>
    <col min="7687" max="7690" width="12.7109375" style="129" customWidth="1"/>
    <col min="7691" max="7693" width="13.7109375" style="129" customWidth="1"/>
    <col min="7694" max="7694" width="14.85546875" style="129" customWidth="1"/>
    <col min="7695" max="7695" width="20.85546875" style="129" customWidth="1"/>
    <col min="7696" max="7697" width="14.7109375" style="129" customWidth="1"/>
    <col min="7698" max="7939" width="9.140625" style="129"/>
    <col min="7940" max="7940" width="5.28515625" style="129" customWidth="1"/>
    <col min="7941" max="7941" width="18.7109375" style="129" customWidth="1"/>
    <col min="7942" max="7942" width="14.7109375" style="129" customWidth="1"/>
    <col min="7943" max="7946" width="12.7109375" style="129" customWidth="1"/>
    <col min="7947" max="7949" width="13.7109375" style="129" customWidth="1"/>
    <col min="7950" max="7950" width="14.85546875" style="129" customWidth="1"/>
    <col min="7951" max="7951" width="20.85546875" style="129" customWidth="1"/>
    <col min="7952" max="7953" width="14.7109375" style="129" customWidth="1"/>
    <col min="7954" max="8195" width="9.140625" style="129"/>
    <col min="8196" max="8196" width="5.28515625" style="129" customWidth="1"/>
    <col min="8197" max="8197" width="18.7109375" style="129" customWidth="1"/>
    <col min="8198" max="8198" width="14.7109375" style="129" customWidth="1"/>
    <col min="8199" max="8202" width="12.7109375" style="129" customWidth="1"/>
    <col min="8203" max="8205" width="13.7109375" style="129" customWidth="1"/>
    <col min="8206" max="8206" width="14.85546875" style="129" customWidth="1"/>
    <col min="8207" max="8207" width="20.85546875" style="129" customWidth="1"/>
    <col min="8208" max="8209" width="14.7109375" style="129" customWidth="1"/>
    <col min="8210" max="8451" width="9.140625" style="129"/>
    <col min="8452" max="8452" width="5.28515625" style="129" customWidth="1"/>
    <col min="8453" max="8453" width="18.7109375" style="129" customWidth="1"/>
    <col min="8454" max="8454" width="14.7109375" style="129" customWidth="1"/>
    <col min="8455" max="8458" width="12.7109375" style="129" customWidth="1"/>
    <col min="8459" max="8461" width="13.7109375" style="129" customWidth="1"/>
    <col min="8462" max="8462" width="14.85546875" style="129" customWidth="1"/>
    <col min="8463" max="8463" width="20.85546875" style="129" customWidth="1"/>
    <col min="8464" max="8465" width="14.7109375" style="129" customWidth="1"/>
    <col min="8466" max="8707" width="9.140625" style="129"/>
    <col min="8708" max="8708" width="5.28515625" style="129" customWidth="1"/>
    <col min="8709" max="8709" width="18.7109375" style="129" customWidth="1"/>
    <col min="8710" max="8710" width="14.7109375" style="129" customWidth="1"/>
    <col min="8711" max="8714" width="12.7109375" style="129" customWidth="1"/>
    <col min="8715" max="8717" width="13.7109375" style="129" customWidth="1"/>
    <col min="8718" max="8718" width="14.85546875" style="129" customWidth="1"/>
    <col min="8719" max="8719" width="20.85546875" style="129" customWidth="1"/>
    <col min="8720" max="8721" width="14.7109375" style="129" customWidth="1"/>
    <col min="8722" max="8963" width="9.140625" style="129"/>
    <col min="8964" max="8964" width="5.28515625" style="129" customWidth="1"/>
    <col min="8965" max="8965" width="18.7109375" style="129" customWidth="1"/>
    <col min="8966" max="8966" width="14.7109375" style="129" customWidth="1"/>
    <col min="8967" max="8970" width="12.7109375" style="129" customWidth="1"/>
    <col min="8971" max="8973" width="13.7109375" style="129" customWidth="1"/>
    <col min="8974" max="8974" width="14.85546875" style="129" customWidth="1"/>
    <col min="8975" max="8975" width="20.85546875" style="129" customWidth="1"/>
    <col min="8976" max="8977" width="14.7109375" style="129" customWidth="1"/>
    <col min="8978" max="9219" width="9.140625" style="129"/>
    <col min="9220" max="9220" width="5.28515625" style="129" customWidth="1"/>
    <col min="9221" max="9221" width="18.7109375" style="129" customWidth="1"/>
    <col min="9222" max="9222" width="14.7109375" style="129" customWidth="1"/>
    <col min="9223" max="9226" width="12.7109375" style="129" customWidth="1"/>
    <col min="9227" max="9229" width="13.7109375" style="129" customWidth="1"/>
    <col min="9230" max="9230" width="14.85546875" style="129" customWidth="1"/>
    <col min="9231" max="9231" width="20.85546875" style="129" customWidth="1"/>
    <col min="9232" max="9233" width="14.7109375" style="129" customWidth="1"/>
    <col min="9234" max="9475" width="9.140625" style="129"/>
    <col min="9476" max="9476" width="5.28515625" style="129" customWidth="1"/>
    <col min="9477" max="9477" width="18.7109375" style="129" customWidth="1"/>
    <col min="9478" max="9478" width="14.7109375" style="129" customWidth="1"/>
    <col min="9479" max="9482" width="12.7109375" style="129" customWidth="1"/>
    <col min="9483" max="9485" width="13.7109375" style="129" customWidth="1"/>
    <col min="9486" max="9486" width="14.85546875" style="129" customWidth="1"/>
    <col min="9487" max="9487" width="20.85546875" style="129" customWidth="1"/>
    <col min="9488" max="9489" width="14.7109375" style="129" customWidth="1"/>
    <col min="9490" max="9731" width="9.140625" style="129"/>
    <col min="9732" max="9732" width="5.28515625" style="129" customWidth="1"/>
    <col min="9733" max="9733" width="18.7109375" style="129" customWidth="1"/>
    <col min="9734" max="9734" width="14.7109375" style="129" customWidth="1"/>
    <col min="9735" max="9738" width="12.7109375" style="129" customWidth="1"/>
    <col min="9739" max="9741" width="13.7109375" style="129" customWidth="1"/>
    <col min="9742" max="9742" width="14.85546875" style="129" customWidth="1"/>
    <col min="9743" max="9743" width="20.85546875" style="129" customWidth="1"/>
    <col min="9744" max="9745" width="14.7109375" style="129" customWidth="1"/>
    <col min="9746" max="9987" width="9.140625" style="129"/>
    <col min="9988" max="9988" width="5.28515625" style="129" customWidth="1"/>
    <col min="9989" max="9989" width="18.7109375" style="129" customWidth="1"/>
    <col min="9990" max="9990" width="14.7109375" style="129" customWidth="1"/>
    <col min="9991" max="9994" width="12.7109375" style="129" customWidth="1"/>
    <col min="9995" max="9997" width="13.7109375" style="129" customWidth="1"/>
    <col min="9998" max="9998" width="14.85546875" style="129" customWidth="1"/>
    <col min="9999" max="9999" width="20.85546875" style="129" customWidth="1"/>
    <col min="10000" max="10001" width="14.7109375" style="129" customWidth="1"/>
    <col min="10002" max="10243" width="9.140625" style="129"/>
    <col min="10244" max="10244" width="5.28515625" style="129" customWidth="1"/>
    <col min="10245" max="10245" width="18.7109375" style="129" customWidth="1"/>
    <col min="10246" max="10246" width="14.7109375" style="129" customWidth="1"/>
    <col min="10247" max="10250" width="12.7109375" style="129" customWidth="1"/>
    <col min="10251" max="10253" width="13.7109375" style="129" customWidth="1"/>
    <col min="10254" max="10254" width="14.85546875" style="129" customWidth="1"/>
    <col min="10255" max="10255" width="20.85546875" style="129" customWidth="1"/>
    <col min="10256" max="10257" width="14.7109375" style="129" customWidth="1"/>
    <col min="10258" max="10499" width="9.140625" style="129"/>
    <col min="10500" max="10500" width="5.28515625" style="129" customWidth="1"/>
    <col min="10501" max="10501" width="18.7109375" style="129" customWidth="1"/>
    <col min="10502" max="10502" width="14.7109375" style="129" customWidth="1"/>
    <col min="10503" max="10506" width="12.7109375" style="129" customWidth="1"/>
    <col min="10507" max="10509" width="13.7109375" style="129" customWidth="1"/>
    <col min="10510" max="10510" width="14.85546875" style="129" customWidth="1"/>
    <col min="10511" max="10511" width="20.85546875" style="129" customWidth="1"/>
    <col min="10512" max="10513" width="14.7109375" style="129" customWidth="1"/>
    <col min="10514" max="10755" width="9.140625" style="129"/>
    <col min="10756" max="10756" width="5.28515625" style="129" customWidth="1"/>
    <col min="10757" max="10757" width="18.7109375" style="129" customWidth="1"/>
    <col min="10758" max="10758" width="14.7109375" style="129" customWidth="1"/>
    <col min="10759" max="10762" width="12.7109375" style="129" customWidth="1"/>
    <col min="10763" max="10765" width="13.7109375" style="129" customWidth="1"/>
    <col min="10766" max="10766" width="14.85546875" style="129" customWidth="1"/>
    <col min="10767" max="10767" width="20.85546875" style="129" customWidth="1"/>
    <col min="10768" max="10769" width="14.7109375" style="129" customWidth="1"/>
    <col min="10770" max="11011" width="9.140625" style="129"/>
    <col min="11012" max="11012" width="5.28515625" style="129" customWidth="1"/>
    <col min="11013" max="11013" width="18.7109375" style="129" customWidth="1"/>
    <col min="11014" max="11014" width="14.7109375" style="129" customWidth="1"/>
    <col min="11015" max="11018" width="12.7109375" style="129" customWidth="1"/>
    <col min="11019" max="11021" width="13.7109375" style="129" customWidth="1"/>
    <col min="11022" max="11022" width="14.85546875" style="129" customWidth="1"/>
    <col min="11023" max="11023" width="20.85546875" style="129" customWidth="1"/>
    <col min="11024" max="11025" width="14.7109375" style="129" customWidth="1"/>
    <col min="11026" max="11267" width="9.140625" style="129"/>
    <col min="11268" max="11268" width="5.28515625" style="129" customWidth="1"/>
    <col min="11269" max="11269" width="18.7109375" style="129" customWidth="1"/>
    <col min="11270" max="11270" width="14.7109375" style="129" customWidth="1"/>
    <col min="11271" max="11274" width="12.7109375" style="129" customWidth="1"/>
    <col min="11275" max="11277" width="13.7109375" style="129" customWidth="1"/>
    <col min="11278" max="11278" width="14.85546875" style="129" customWidth="1"/>
    <col min="11279" max="11279" width="20.85546875" style="129" customWidth="1"/>
    <col min="11280" max="11281" width="14.7109375" style="129" customWidth="1"/>
    <col min="11282" max="11523" width="9.140625" style="129"/>
    <col min="11524" max="11524" width="5.28515625" style="129" customWidth="1"/>
    <col min="11525" max="11525" width="18.7109375" style="129" customWidth="1"/>
    <col min="11526" max="11526" width="14.7109375" style="129" customWidth="1"/>
    <col min="11527" max="11530" width="12.7109375" style="129" customWidth="1"/>
    <col min="11531" max="11533" width="13.7109375" style="129" customWidth="1"/>
    <col min="11534" max="11534" width="14.85546875" style="129" customWidth="1"/>
    <col min="11535" max="11535" width="20.85546875" style="129" customWidth="1"/>
    <col min="11536" max="11537" width="14.7109375" style="129" customWidth="1"/>
    <col min="11538" max="11779" width="9.140625" style="129"/>
    <col min="11780" max="11780" width="5.28515625" style="129" customWidth="1"/>
    <col min="11781" max="11781" width="18.7109375" style="129" customWidth="1"/>
    <col min="11782" max="11782" width="14.7109375" style="129" customWidth="1"/>
    <col min="11783" max="11786" width="12.7109375" style="129" customWidth="1"/>
    <col min="11787" max="11789" width="13.7109375" style="129" customWidth="1"/>
    <col min="11790" max="11790" width="14.85546875" style="129" customWidth="1"/>
    <col min="11791" max="11791" width="20.85546875" style="129" customWidth="1"/>
    <col min="11792" max="11793" width="14.7109375" style="129" customWidth="1"/>
    <col min="11794" max="12035" width="9.140625" style="129"/>
    <col min="12036" max="12036" width="5.28515625" style="129" customWidth="1"/>
    <col min="12037" max="12037" width="18.7109375" style="129" customWidth="1"/>
    <col min="12038" max="12038" width="14.7109375" style="129" customWidth="1"/>
    <col min="12039" max="12042" width="12.7109375" style="129" customWidth="1"/>
    <col min="12043" max="12045" width="13.7109375" style="129" customWidth="1"/>
    <col min="12046" max="12046" width="14.85546875" style="129" customWidth="1"/>
    <col min="12047" max="12047" width="20.85546875" style="129" customWidth="1"/>
    <col min="12048" max="12049" width="14.7109375" style="129" customWidth="1"/>
    <col min="12050" max="12291" width="9.140625" style="129"/>
    <col min="12292" max="12292" width="5.28515625" style="129" customWidth="1"/>
    <col min="12293" max="12293" width="18.7109375" style="129" customWidth="1"/>
    <col min="12294" max="12294" width="14.7109375" style="129" customWidth="1"/>
    <col min="12295" max="12298" width="12.7109375" style="129" customWidth="1"/>
    <col min="12299" max="12301" width="13.7109375" style="129" customWidth="1"/>
    <col min="12302" max="12302" width="14.85546875" style="129" customWidth="1"/>
    <col min="12303" max="12303" width="20.85546875" style="129" customWidth="1"/>
    <col min="12304" max="12305" width="14.7109375" style="129" customWidth="1"/>
    <col min="12306" max="12547" width="9.140625" style="129"/>
    <col min="12548" max="12548" width="5.28515625" style="129" customWidth="1"/>
    <col min="12549" max="12549" width="18.7109375" style="129" customWidth="1"/>
    <col min="12550" max="12550" width="14.7109375" style="129" customWidth="1"/>
    <col min="12551" max="12554" width="12.7109375" style="129" customWidth="1"/>
    <col min="12555" max="12557" width="13.7109375" style="129" customWidth="1"/>
    <col min="12558" max="12558" width="14.85546875" style="129" customWidth="1"/>
    <col min="12559" max="12559" width="20.85546875" style="129" customWidth="1"/>
    <col min="12560" max="12561" width="14.7109375" style="129" customWidth="1"/>
    <col min="12562" max="12803" width="9.140625" style="129"/>
    <col min="12804" max="12804" width="5.28515625" style="129" customWidth="1"/>
    <col min="12805" max="12805" width="18.7109375" style="129" customWidth="1"/>
    <col min="12806" max="12806" width="14.7109375" style="129" customWidth="1"/>
    <col min="12807" max="12810" width="12.7109375" style="129" customWidth="1"/>
    <col min="12811" max="12813" width="13.7109375" style="129" customWidth="1"/>
    <col min="12814" max="12814" width="14.85546875" style="129" customWidth="1"/>
    <col min="12815" max="12815" width="20.85546875" style="129" customWidth="1"/>
    <col min="12816" max="12817" width="14.7109375" style="129" customWidth="1"/>
    <col min="12818" max="13059" width="9.140625" style="129"/>
    <col min="13060" max="13060" width="5.28515625" style="129" customWidth="1"/>
    <col min="13061" max="13061" width="18.7109375" style="129" customWidth="1"/>
    <col min="13062" max="13062" width="14.7109375" style="129" customWidth="1"/>
    <col min="13063" max="13066" width="12.7109375" style="129" customWidth="1"/>
    <col min="13067" max="13069" width="13.7109375" style="129" customWidth="1"/>
    <col min="13070" max="13070" width="14.85546875" style="129" customWidth="1"/>
    <col min="13071" max="13071" width="20.85546875" style="129" customWidth="1"/>
    <col min="13072" max="13073" width="14.7109375" style="129" customWidth="1"/>
    <col min="13074" max="13315" width="9.140625" style="129"/>
    <col min="13316" max="13316" width="5.28515625" style="129" customWidth="1"/>
    <col min="13317" max="13317" width="18.7109375" style="129" customWidth="1"/>
    <col min="13318" max="13318" width="14.7109375" style="129" customWidth="1"/>
    <col min="13319" max="13322" width="12.7109375" style="129" customWidth="1"/>
    <col min="13323" max="13325" width="13.7109375" style="129" customWidth="1"/>
    <col min="13326" max="13326" width="14.85546875" style="129" customWidth="1"/>
    <col min="13327" max="13327" width="20.85546875" style="129" customWidth="1"/>
    <col min="13328" max="13329" width="14.7109375" style="129" customWidth="1"/>
    <col min="13330" max="13571" width="9.140625" style="129"/>
    <col min="13572" max="13572" width="5.28515625" style="129" customWidth="1"/>
    <col min="13573" max="13573" width="18.7109375" style="129" customWidth="1"/>
    <col min="13574" max="13574" width="14.7109375" style="129" customWidth="1"/>
    <col min="13575" max="13578" width="12.7109375" style="129" customWidth="1"/>
    <col min="13579" max="13581" width="13.7109375" style="129" customWidth="1"/>
    <col min="13582" max="13582" width="14.85546875" style="129" customWidth="1"/>
    <col min="13583" max="13583" width="20.85546875" style="129" customWidth="1"/>
    <col min="13584" max="13585" width="14.7109375" style="129" customWidth="1"/>
    <col min="13586" max="13827" width="9.140625" style="129"/>
    <col min="13828" max="13828" width="5.28515625" style="129" customWidth="1"/>
    <col min="13829" max="13829" width="18.7109375" style="129" customWidth="1"/>
    <col min="13830" max="13830" width="14.7109375" style="129" customWidth="1"/>
    <col min="13831" max="13834" width="12.7109375" style="129" customWidth="1"/>
    <col min="13835" max="13837" width="13.7109375" style="129" customWidth="1"/>
    <col min="13838" max="13838" width="14.85546875" style="129" customWidth="1"/>
    <col min="13839" max="13839" width="20.85546875" style="129" customWidth="1"/>
    <col min="13840" max="13841" width="14.7109375" style="129" customWidth="1"/>
    <col min="13842" max="14083" width="9.140625" style="129"/>
    <col min="14084" max="14084" width="5.28515625" style="129" customWidth="1"/>
    <col min="14085" max="14085" width="18.7109375" style="129" customWidth="1"/>
    <col min="14086" max="14086" width="14.7109375" style="129" customWidth="1"/>
    <col min="14087" max="14090" width="12.7109375" style="129" customWidth="1"/>
    <col min="14091" max="14093" width="13.7109375" style="129" customWidth="1"/>
    <col min="14094" max="14094" width="14.85546875" style="129" customWidth="1"/>
    <col min="14095" max="14095" width="20.85546875" style="129" customWidth="1"/>
    <col min="14096" max="14097" width="14.7109375" style="129" customWidth="1"/>
    <col min="14098" max="14339" width="9.140625" style="129"/>
    <col min="14340" max="14340" width="5.28515625" style="129" customWidth="1"/>
    <col min="14341" max="14341" width="18.7109375" style="129" customWidth="1"/>
    <col min="14342" max="14342" width="14.7109375" style="129" customWidth="1"/>
    <col min="14343" max="14346" width="12.7109375" style="129" customWidth="1"/>
    <col min="14347" max="14349" width="13.7109375" style="129" customWidth="1"/>
    <col min="14350" max="14350" width="14.85546875" style="129" customWidth="1"/>
    <col min="14351" max="14351" width="20.85546875" style="129" customWidth="1"/>
    <col min="14352" max="14353" width="14.7109375" style="129" customWidth="1"/>
    <col min="14354" max="14595" width="9.140625" style="129"/>
    <col min="14596" max="14596" width="5.28515625" style="129" customWidth="1"/>
    <col min="14597" max="14597" width="18.7109375" style="129" customWidth="1"/>
    <col min="14598" max="14598" width="14.7109375" style="129" customWidth="1"/>
    <col min="14599" max="14602" width="12.7109375" style="129" customWidth="1"/>
    <col min="14603" max="14605" width="13.7109375" style="129" customWidth="1"/>
    <col min="14606" max="14606" width="14.85546875" style="129" customWidth="1"/>
    <col min="14607" max="14607" width="20.85546875" style="129" customWidth="1"/>
    <col min="14608" max="14609" width="14.7109375" style="129" customWidth="1"/>
    <col min="14610" max="14851" width="9.140625" style="129"/>
    <col min="14852" max="14852" width="5.28515625" style="129" customWidth="1"/>
    <col min="14853" max="14853" width="18.7109375" style="129" customWidth="1"/>
    <col min="14854" max="14854" width="14.7109375" style="129" customWidth="1"/>
    <col min="14855" max="14858" width="12.7109375" style="129" customWidth="1"/>
    <col min="14859" max="14861" width="13.7109375" style="129" customWidth="1"/>
    <col min="14862" max="14862" width="14.85546875" style="129" customWidth="1"/>
    <col min="14863" max="14863" width="20.85546875" style="129" customWidth="1"/>
    <col min="14864" max="14865" width="14.7109375" style="129" customWidth="1"/>
    <col min="14866" max="15107" width="9.140625" style="129"/>
    <col min="15108" max="15108" width="5.28515625" style="129" customWidth="1"/>
    <col min="15109" max="15109" width="18.7109375" style="129" customWidth="1"/>
    <col min="15110" max="15110" width="14.7109375" style="129" customWidth="1"/>
    <col min="15111" max="15114" width="12.7109375" style="129" customWidth="1"/>
    <col min="15115" max="15117" width="13.7109375" style="129" customWidth="1"/>
    <col min="15118" max="15118" width="14.85546875" style="129" customWidth="1"/>
    <col min="15119" max="15119" width="20.85546875" style="129" customWidth="1"/>
    <col min="15120" max="15121" width="14.7109375" style="129" customWidth="1"/>
    <col min="15122" max="15363" width="9.140625" style="129"/>
    <col min="15364" max="15364" width="5.28515625" style="129" customWidth="1"/>
    <col min="15365" max="15365" width="18.7109375" style="129" customWidth="1"/>
    <col min="15366" max="15366" width="14.7109375" style="129" customWidth="1"/>
    <col min="15367" max="15370" width="12.7109375" style="129" customWidth="1"/>
    <col min="15371" max="15373" width="13.7109375" style="129" customWidth="1"/>
    <col min="15374" max="15374" width="14.85546875" style="129" customWidth="1"/>
    <col min="15375" max="15375" width="20.85546875" style="129" customWidth="1"/>
    <col min="15376" max="15377" width="14.7109375" style="129" customWidth="1"/>
    <col min="15378" max="15619" width="9.140625" style="129"/>
    <col min="15620" max="15620" width="5.28515625" style="129" customWidth="1"/>
    <col min="15621" max="15621" width="18.7109375" style="129" customWidth="1"/>
    <col min="15622" max="15622" width="14.7109375" style="129" customWidth="1"/>
    <col min="15623" max="15626" width="12.7109375" style="129" customWidth="1"/>
    <col min="15627" max="15629" width="13.7109375" style="129" customWidth="1"/>
    <col min="15630" max="15630" width="14.85546875" style="129" customWidth="1"/>
    <col min="15631" max="15631" width="20.85546875" style="129" customWidth="1"/>
    <col min="15632" max="15633" width="14.7109375" style="129" customWidth="1"/>
    <col min="15634" max="15875" width="9.140625" style="129"/>
    <col min="15876" max="15876" width="5.28515625" style="129" customWidth="1"/>
    <col min="15877" max="15877" width="18.7109375" style="129" customWidth="1"/>
    <col min="15878" max="15878" width="14.7109375" style="129" customWidth="1"/>
    <col min="15879" max="15882" width="12.7109375" style="129" customWidth="1"/>
    <col min="15883" max="15885" width="13.7109375" style="129" customWidth="1"/>
    <col min="15886" max="15886" width="14.85546875" style="129" customWidth="1"/>
    <col min="15887" max="15887" width="20.85546875" style="129" customWidth="1"/>
    <col min="15888" max="15889" width="14.7109375" style="129" customWidth="1"/>
    <col min="15890" max="16131" width="9.140625" style="129"/>
    <col min="16132" max="16132" width="5.28515625" style="129" customWidth="1"/>
    <col min="16133" max="16133" width="18.7109375" style="129" customWidth="1"/>
    <col min="16134" max="16134" width="14.7109375" style="129" customWidth="1"/>
    <col min="16135" max="16138" width="12.7109375" style="129" customWidth="1"/>
    <col min="16139" max="16141" width="13.7109375" style="129" customWidth="1"/>
    <col min="16142" max="16142" width="14.85546875" style="129" customWidth="1"/>
    <col min="16143" max="16143" width="20.85546875" style="129" customWidth="1"/>
    <col min="16144" max="16145" width="14.7109375" style="129" customWidth="1"/>
    <col min="16146" max="16384" width="9.140625" style="129"/>
  </cols>
  <sheetData>
    <row r="1" spans="1:23" ht="21.95" x14ac:dyDescent="0.4">
      <c r="B1" s="188"/>
      <c r="O1" s="282"/>
      <c r="P1" s="282"/>
    </row>
    <row r="2" spans="1:23" ht="18.95" x14ac:dyDescent="0.4">
      <c r="O2" s="283"/>
      <c r="P2" s="283"/>
    </row>
    <row r="3" spans="1:23" ht="30" x14ac:dyDescent="0.4">
      <c r="A3" s="288" t="s">
        <v>140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</row>
    <row r="4" spans="1:23" ht="30" x14ac:dyDescent="0.25">
      <c r="A4" s="273" t="s">
        <v>142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</row>
    <row r="5" spans="1:23" ht="30" x14ac:dyDescent="0.25">
      <c r="A5" s="274" t="s">
        <v>174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162"/>
      <c r="U5" s="162"/>
    </row>
    <row r="6" spans="1:23" s="136" customFormat="1" ht="20.100000000000001" x14ac:dyDescent="0.4"/>
    <row r="7" spans="1:23" s="200" customFormat="1" ht="24" x14ac:dyDescent="0.25">
      <c r="A7" s="284" t="s">
        <v>128</v>
      </c>
      <c r="B7" s="284" t="s">
        <v>93</v>
      </c>
      <c r="C7" s="284" t="s">
        <v>4</v>
      </c>
      <c r="D7" s="284" t="s">
        <v>136</v>
      </c>
      <c r="E7" s="284" t="s">
        <v>129</v>
      </c>
      <c r="F7" s="284" t="s">
        <v>19</v>
      </c>
      <c r="G7" s="284" t="s">
        <v>130</v>
      </c>
      <c r="H7" s="275" t="s">
        <v>131</v>
      </c>
      <c r="I7" s="276"/>
      <c r="J7" s="276"/>
      <c r="K7" s="276"/>
      <c r="L7" s="276"/>
      <c r="M7" s="276"/>
      <c r="N7" s="276"/>
      <c r="O7" s="277"/>
      <c r="P7" s="286" t="s">
        <v>124</v>
      </c>
      <c r="Q7" s="284" t="s">
        <v>135</v>
      </c>
      <c r="S7" s="229"/>
    </row>
    <row r="8" spans="1:23" s="204" customFormat="1" ht="72" x14ac:dyDescent="0.3">
      <c r="A8" s="285"/>
      <c r="B8" s="285"/>
      <c r="C8" s="285"/>
      <c r="D8" s="285"/>
      <c r="E8" s="285"/>
      <c r="F8" s="285"/>
      <c r="G8" s="285"/>
      <c r="H8" s="201" t="s">
        <v>104</v>
      </c>
      <c r="I8" s="201" t="s">
        <v>123</v>
      </c>
      <c r="J8" s="201" t="s">
        <v>146</v>
      </c>
      <c r="K8" s="202" t="s">
        <v>132</v>
      </c>
      <c r="L8" s="203" t="s">
        <v>133</v>
      </c>
      <c r="M8" s="202" t="s">
        <v>137</v>
      </c>
      <c r="N8" s="202" t="s">
        <v>134</v>
      </c>
      <c r="O8" s="202" t="s">
        <v>42</v>
      </c>
      <c r="P8" s="287"/>
      <c r="Q8" s="287"/>
      <c r="S8" s="230"/>
    </row>
    <row r="9" spans="1:23" s="204" customFormat="1" ht="20.100000000000001" customHeight="1" x14ac:dyDescent="0.3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6"/>
      <c r="L9" s="206"/>
      <c r="M9" s="206"/>
      <c r="N9" s="206"/>
      <c r="O9" s="206"/>
      <c r="P9" s="205"/>
      <c r="Q9" s="205"/>
      <c r="S9" s="230"/>
    </row>
    <row r="10" spans="1:23" s="212" customFormat="1" ht="171.75" customHeight="1" x14ac:dyDescent="0.25">
      <c r="A10" s="208">
        <v>1</v>
      </c>
      <c r="B10" s="209" t="str">
        <f>'Nominatif Format Baru'!B11</f>
        <v>Ir. Irawan Rusnadi, M.T.
ST No. 0361/PL6.4.2/ST/2026
Tanggal 15 Januari 2026</v>
      </c>
      <c r="C10" s="210" t="str">
        <f>'Nominatif Format Baru'!C11</f>
        <v>196702021994031004</v>
      </c>
      <c r="D10" s="211" t="str">
        <f>'Nominatif Format Baru'!D11</f>
        <v>Pembina Utama Muda/IV/c</v>
      </c>
      <c r="E10" s="212" t="str">
        <f>'Nominatif Format Baru'!E11</f>
        <v>Jakarta</v>
      </c>
      <c r="F10" s="213" t="str">
        <f>'Nominatif Format Baru'!F11</f>
        <v>20-21/01/2026</v>
      </c>
      <c r="G10" s="212" t="str">
        <f>'Nominatif Format Baru'!G11</f>
        <v>2 Hari</v>
      </c>
      <c r="H10" s="231"/>
      <c r="I10" s="215">
        <f>'Nominatif Format Baru'!I11</f>
        <v>221000</v>
      </c>
      <c r="J10" s="232"/>
      <c r="K10" s="216"/>
      <c r="L10" s="217"/>
      <c r="M10" s="216">
        <f>'Nominatif Format Baru'!M11</f>
        <v>1060000</v>
      </c>
      <c r="N10" s="216"/>
      <c r="O10" s="216">
        <f>SUM(H10:N10)</f>
        <v>1281000</v>
      </c>
      <c r="P10" s="233" t="s">
        <v>216</v>
      </c>
      <c r="R10" s="200"/>
      <c r="S10" s="229"/>
      <c r="T10" s="200"/>
      <c r="U10" s="200"/>
      <c r="V10" s="200"/>
      <c r="W10" s="234"/>
    </row>
    <row r="11" spans="1:23" s="200" customFormat="1" ht="126.75" customHeight="1" x14ac:dyDescent="0.25">
      <c r="A11" s="208">
        <v>2</v>
      </c>
      <c r="B11" s="209" t="str">
        <f>'Nominatif Format Baru'!B12</f>
        <v>Dr. Irma Salamah, S.T., M.TI.
ST No. 0361/PL6.4.2/ST/2026
Tanggal 15 Januari 2026</v>
      </c>
      <c r="C11" s="210" t="str">
        <f>'Nominatif Format Baru'!C12</f>
        <v>197410221998022001</v>
      </c>
      <c r="D11" s="211" t="str">
        <f>'Nominatif Format Baru'!D12</f>
        <v>Pembina Tk. I/IV/b</v>
      </c>
      <c r="E11" s="212" t="str">
        <f>'Nominatif Format Baru'!E12</f>
        <v>Jakarta</v>
      </c>
      <c r="F11" s="213" t="str">
        <f>'Nominatif Format Baru'!F12</f>
        <v>20-21/01/2026</v>
      </c>
      <c r="G11" s="212" t="str">
        <f>'Nominatif Format Baru'!G12</f>
        <v>2 Hari</v>
      </c>
      <c r="H11" s="231"/>
      <c r="I11" s="215"/>
      <c r="J11" s="232"/>
      <c r="K11" s="216"/>
      <c r="L11" s="217" t="s">
        <v>2</v>
      </c>
      <c r="M11" s="216">
        <f>'Nominatif Format Baru'!M12</f>
        <v>1060000</v>
      </c>
      <c r="N11" s="216"/>
      <c r="O11" s="216">
        <f t="shared" ref="O11:O13" si="0">SUM(H11:N11)</f>
        <v>1060000</v>
      </c>
      <c r="P11" s="233" t="s">
        <v>217</v>
      </c>
      <c r="Q11" s="212"/>
    </row>
    <row r="12" spans="1:23" s="200" customFormat="1" ht="126.75" customHeight="1" x14ac:dyDescent="0.25">
      <c r="A12" s="208">
        <v>3</v>
      </c>
      <c r="B12" s="209" t="str">
        <f>'Nominatif Format Baru'!B13</f>
        <v>Dr. Selamat Muslimin, S.T., M.Kom
ST No. 0361/PL6.4.2/ST/2026
Tanggal 15 Januari 2026</v>
      </c>
      <c r="C12" s="210" t="str">
        <f>'Nominatif Format Baru'!C13</f>
        <v>197907222008011007</v>
      </c>
      <c r="D12" s="211" t="str">
        <f>'Nominatif Format Baru'!D13</f>
        <v>Penata Tk. I/III/d</v>
      </c>
      <c r="E12" s="212" t="str">
        <f>'Nominatif Format Baru'!E13</f>
        <v>Jakarta</v>
      </c>
      <c r="F12" s="213" t="str">
        <f>'Nominatif Format Baru'!F13</f>
        <v>20-21/01/2026</v>
      </c>
      <c r="G12" s="212" t="str">
        <f>'Nominatif Format Baru'!G13</f>
        <v>2 Hari</v>
      </c>
      <c r="H12" s="231"/>
      <c r="I12" s="215"/>
      <c r="J12" s="232"/>
      <c r="K12" s="216"/>
      <c r="L12" s="217"/>
      <c r="M12" s="216">
        <f>'Nominatif Format Baru'!M13</f>
        <v>1060000</v>
      </c>
      <c r="N12" s="216"/>
      <c r="O12" s="216">
        <f t="shared" si="0"/>
        <v>1060000</v>
      </c>
      <c r="P12" s="235" t="s">
        <v>218</v>
      </c>
      <c r="Q12" s="212"/>
    </row>
    <row r="13" spans="1:23" s="200" customFormat="1" ht="126.75" customHeight="1" x14ac:dyDescent="0.25">
      <c r="A13" s="208">
        <v>4</v>
      </c>
      <c r="B13" s="209" t="str">
        <f>'Nominatif Format Baru'!B14</f>
        <v>Prof. Dr. Ir. Rusdianasari, M.Si
ST No. 0361/PL6.4.2/ST/2026
Tanggal 15 Januari 2026</v>
      </c>
      <c r="C13" s="210" t="str">
        <f>'Nominatif Format Baru'!C14</f>
        <v>196711191993032003</v>
      </c>
      <c r="D13" s="211" t="str">
        <f>'Nominatif Format Baru'!D14</f>
        <v>Pembina Utama/IV/e</v>
      </c>
      <c r="E13" s="212" t="str">
        <f>'Nominatif Format Baru'!E14</f>
        <v>Jakarta</v>
      </c>
      <c r="F13" s="213" t="str">
        <f>'Nominatif Format Baru'!F14</f>
        <v>20-21/01/2026</v>
      </c>
      <c r="G13" s="212" t="str">
        <f>'Nominatif Format Baru'!G14</f>
        <v>2 Hari</v>
      </c>
      <c r="H13" s="231"/>
      <c r="I13" s="215">
        <f>'Nominatif Format Baru'!I14</f>
        <v>288000</v>
      </c>
      <c r="J13" s="232"/>
      <c r="K13" s="216"/>
      <c r="L13" s="217"/>
      <c r="M13" s="216">
        <f>'Nominatif Format Baru'!M14</f>
        <v>1060000</v>
      </c>
      <c r="N13" s="216"/>
      <c r="O13" s="216">
        <f t="shared" si="0"/>
        <v>1348000</v>
      </c>
      <c r="P13" s="233" t="s">
        <v>219</v>
      </c>
      <c r="Q13" s="212"/>
    </row>
    <row r="14" spans="1:23" s="226" customFormat="1" ht="30" customHeight="1" x14ac:dyDescent="0.3">
      <c r="A14" s="278" t="s">
        <v>106</v>
      </c>
      <c r="B14" s="279"/>
      <c r="C14" s="279"/>
      <c r="D14" s="279"/>
      <c r="E14" s="279"/>
      <c r="F14" s="279"/>
      <c r="G14" s="279"/>
      <c r="H14" s="279"/>
      <c r="I14" s="279"/>
      <c r="J14" s="279"/>
      <c r="K14" s="221">
        <f>SUM(K10:K10)</f>
        <v>0</v>
      </c>
      <c r="L14" s="221">
        <f>SUM(L10:L10)</f>
        <v>0</v>
      </c>
      <c r="M14" s="221">
        <f>SUM(M10:M13)</f>
        <v>4240000</v>
      </c>
      <c r="N14" s="221">
        <f>SUM(N10:N10)</f>
        <v>0</v>
      </c>
      <c r="O14" s="221">
        <f>SUM(O10:O13)</f>
        <v>4749000</v>
      </c>
      <c r="P14" s="222"/>
      <c r="Q14" s="222"/>
      <c r="R14" s="223"/>
      <c r="S14" s="224"/>
      <c r="T14" s="225"/>
      <c r="U14" s="225"/>
      <c r="V14" s="225"/>
    </row>
    <row r="15" spans="1:23" s="226" customFormat="1" ht="30" customHeight="1" x14ac:dyDescent="0.3">
      <c r="A15" s="278" t="s">
        <v>107</v>
      </c>
      <c r="B15" s="279"/>
      <c r="C15" s="227"/>
      <c r="D15" s="228"/>
      <c r="E15" s="227"/>
      <c r="F15" s="280" t="str">
        <f>[1]!terbilang(O14,4,"Rupiah,-")</f>
        <v>Empat juta tujuh ratus empat puluh sembilan ribu rupiah,-</v>
      </c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1"/>
    </row>
    <row r="16" spans="1:23" s="204" customFormat="1" ht="23.25" x14ac:dyDescent="0.3"/>
    <row r="17" spans="2:20" s="204" customFormat="1" ht="23.25" x14ac:dyDescent="0.3"/>
    <row r="18" spans="2:20" s="316" customFormat="1" ht="23.25" x14ac:dyDescent="0.35">
      <c r="B18" s="317" t="s">
        <v>108</v>
      </c>
      <c r="C18" s="317"/>
      <c r="D18" s="317"/>
      <c r="E18" s="318" t="s">
        <v>2</v>
      </c>
      <c r="O18" s="317" t="s">
        <v>206</v>
      </c>
      <c r="P18" s="317"/>
      <c r="T18" s="317"/>
    </row>
    <row r="19" spans="2:20" s="316" customFormat="1" ht="23.25" x14ac:dyDescent="0.35">
      <c r="B19" s="316" t="s">
        <v>143</v>
      </c>
      <c r="C19" s="317"/>
      <c r="D19" s="317"/>
      <c r="E19" s="318"/>
      <c r="F19" s="316" t="s">
        <v>109</v>
      </c>
      <c r="O19" s="316" t="s">
        <v>139</v>
      </c>
    </row>
    <row r="20" spans="2:20" s="316" customFormat="1" ht="23.25" x14ac:dyDescent="0.35">
      <c r="C20" s="317"/>
      <c r="D20" s="317"/>
      <c r="E20" s="318"/>
    </row>
    <row r="21" spans="2:20" s="316" customFormat="1" ht="23.25" x14ac:dyDescent="0.35">
      <c r="C21" s="317"/>
      <c r="D21" s="317"/>
      <c r="E21" s="318"/>
    </row>
    <row r="22" spans="2:20" s="316" customFormat="1" ht="23.25" x14ac:dyDescent="0.35">
      <c r="C22" s="317"/>
      <c r="D22" s="317"/>
      <c r="E22" s="318"/>
    </row>
    <row r="23" spans="2:20" s="316" customFormat="1" ht="23.25" x14ac:dyDescent="0.35">
      <c r="C23" s="317"/>
      <c r="D23" s="317"/>
      <c r="E23" s="318"/>
    </row>
    <row r="24" spans="2:20" s="316" customFormat="1" ht="23.25" x14ac:dyDescent="0.35">
      <c r="B24" s="316" t="s">
        <v>156</v>
      </c>
      <c r="C24" s="317"/>
      <c r="D24" s="317"/>
      <c r="E24" s="318"/>
      <c r="O24" s="322" t="s">
        <v>144</v>
      </c>
      <c r="P24" s="322" t="s">
        <v>144</v>
      </c>
    </row>
    <row r="25" spans="2:20" s="316" customFormat="1" ht="23.25" x14ac:dyDescent="0.35">
      <c r="B25" s="317" t="s">
        <v>173</v>
      </c>
      <c r="C25" s="317"/>
      <c r="D25" s="317"/>
      <c r="E25" s="318"/>
      <c r="O25" s="189" t="s">
        <v>145</v>
      </c>
      <c r="P25" s="189"/>
      <c r="T25" s="317"/>
    </row>
    <row r="26" spans="2:20" s="163" customFormat="1" x14ac:dyDescent="0.25">
      <c r="B26" s="164"/>
      <c r="C26" s="164"/>
      <c r="D26" s="164"/>
      <c r="E26" s="165"/>
      <c r="F26" s="165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7"/>
      <c r="S26" s="167"/>
      <c r="T26" s="166"/>
    </row>
    <row r="27" spans="2:20" s="163" customFormat="1" x14ac:dyDescent="0.25"/>
  </sheetData>
  <mergeCells count="18">
    <mergeCell ref="O1:P1"/>
    <mergeCell ref="O2:P2"/>
    <mergeCell ref="A7:A8"/>
    <mergeCell ref="B7:B8"/>
    <mergeCell ref="C7:C8"/>
    <mergeCell ref="D7:D8"/>
    <mergeCell ref="E7:E8"/>
    <mergeCell ref="F7:F8"/>
    <mergeCell ref="G7:G8"/>
    <mergeCell ref="P7:P8"/>
    <mergeCell ref="A4:S4"/>
    <mergeCell ref="A3:S3"/>
    <mergeCell ref="H7:O7"/>
    <mergeCell ref="A5:S5"/>
    <mergeCell ref="Q7:Q8"/>
    <mergeCell ref="A14:J14"/>
    <mergeCell ref="A15:B15"/>
    <mergeCell ref="F15:Q15"/>
  </mergeCells>
  <printOptions horizontalCentered="1"/>
  <pageMargins left="0.19685039370078741" right="0" top="1.1417322834645669" bottom="0.74803149606299213" header="0.31496062992125984" footer="0.31496062992125984"/>
  <pageSetup paperSize="9" scale="38" orientation="landscape" r:id="rId1"/>
  <colBreaks count="1" manualBreakCount="1">
    <brk id="1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W28"/>
  <sheetViews>
    <sheetView view="pageBreakPreview" topLeftCell="A4" zoomScale="60" zoomScaleNormal="70" workbookViewId="0">
      <selection activeCell="F21" sqref="F21"/>
    </sheetView>
  </sheetViews>
  <sheetFormatPr defaultRowHeight="20.25" x14ac:dyDescent="0.3"/>
  <cols>
    <col min="1" max="1" width="6.42578125" style="136" bestFit="1" customWidth="1"/>
    <col min="2" max="2" width="52.42578125" style="136" customWidth="1"/>
    <col min="3" max="3" width="32.140625" style="136" customWidth="1"/>
    <col min="4" max="4" width="19.85546875" style="136" customWidth="1"/>
    <col min="5" max="5" width="15.140625" style="136" customWidth="1"/>
    <col min="6" max="6" width="21.42578125" style="136" customWidth="1"/>
    <col min="7" max="7" width="18.28515625" style="136" customWidth="1"/>
    <col min="8" max="8" width="21.28515625" style="136" hidden="1" customWidth="1"/>
    <col min="9" max="10" width="16.42578125" style="136" hidden="1" customWidth="1"/>
    <col min="11" max="11" width="21.5703125" style="136" bestFit="1" customWidth="1"/>
    <col min="12" max="12" width="20.85546875" style="136" customWidth="1"/>
    <col min="13" max="13" width="19.42578125" style="136" bestFit="1" customWidth="1"/>
    <col min="14" max="14" width="21.28515625" style="136" bestFit="1" customWidth="1"/>
    <col min="15" max="15" width="23.5703125" style="136" customWidth="1"/>
    <col min="16" max="16" width="14.7109375" style="136" hidden="1" customWidth="1"/>
    <col min="17" max="17" width="15.42578125" style="136" customWidth="1"/>
    <col min="18" max="18" width="10.140625" style="136" customWidth="1"/>
    <col min="19" max="259" width="9.140625" style="136"/>
    <col min="260" max="260" width="5.28515625" style="136" customWidth="1"/>
    <col min="261" max="261" width="18.7109375" style="136" customWidth="1"/>
    <col min="262" max="262" width="14.7109375" style="136" customWidth="1"/>
    <col min="263" max="266" width="12.7109375" style="136" customWidth="1"/>
    <col min="267" max="269" width="13.7109375" style="136" customWidth="1"/>
    <col min="270" max="270" width="14.85546875" style="136" customWidth="1"/>
    <col min="271" max="271" width="20.85546875" style="136" customWidth="1"/>
    <col min="272" max="273" width="14.7109375" style="136" customWidth="1"/>
    <col min="274" max="515" width="9.140625" style="136"/>
    <col min="516" max="516" width="5.28515625" style="136" customWidth="1"/>
    <col min="517" max="517" width="18.7109375" style="136" customWidth="1"/>
    <col min="518" max="518" width="14.7109375" style="136" customWidth="1"/>
    <col min="519" max="522" width="12.7109375" style="136" customWidth="1"/>
    <col min="523" max="525" width="13.7109375" style="136" customWidth="1"/>
    <col min="526" max="526" width="14.85546875" style="136" customWidth="1"/>
    <col min="527" max="527" width="20.85546875" style="136" customWidth="1"/>
    <col min="528" max="529" width="14.7109375" style="136" customWidth="1"/>
    <col min="530" max="771" width="9.140625" style="136"/>
    <col min="772" max="772" width="5.28515625" style="136" customWidth="1"/>
    <col min="773" max="773" width="18.7109375" style="136" customWidth="1"/>
    <col min="774" max="774" width="14.7109375" style="136" customWidth="1"/>
    <col min="775" max="778" width="12.7109375" style="136" customWidth="1"/>
    <col min="779" max="781" width="13.7109375" style="136" customWidth="1"/>
    <col min="782" max="782" width="14.85546875" style="136" customWidth="1"/>
    <col min="783" max="783" width="20.85546875" style="136" customWidth="1"/>
    <col min="784" max="785" width="14.7109375" style="136" customWidth="1"/>
    <col min="786" max="1027" width="9.140625" style="136"/>
    <col min="1028" max="1028" width="5.28515625" style="136" customWidth="1"/>
    <col min="1029" max="1029" width="18.7109375" style="136" customWidth="1"/>
    <col min="1030" max="1030" width="14.7109375" style="136" customWidth="1"/>
    <col min="1031" max="1034" width="12.7109375" style="136" customWidth="1"/>
    <col min="1035" max="1037" width="13.7109375" style="136" customWidth="1"/>
    <col min="1038" max="1038" width="14.85546875" style="136" customWidth="1"/>
    <col min="1039" max="1039" width="20.85546875" style="136" customWidth="1"/>
    <col min="1040" max="1041" width="14.7109375" style="136" customWidth="1"/>
    <col min="1042" max="1283" width="9.140625" style="136"/>
    <col min="1284" max="1284" width="5.28515625" style="136" customWidth="1"/>
    <col min="1285" max="1285" width="18.7109375" style="136" customWidth="1"/>
    <col min="1286" max="1286" width="14.7109375" style="136" customWidth="1"/>
    <col min="1287" max="1290" width="12.7109375" style="136" customWidth="1"/>
    <col min="1291" max="1293" width="13.7109375" style="136" customWidth="1"/>
    <col min="1294" max="1294" width="14.85546875" style="136" customWidth="1"/>
    <col min="1295" max="1295" width="20.85546875" style="136" customWidth="1"/>
    <col min="1296" max="1297" width="14.7109375" style="136" customWidth="1"/>
    <col min="1298" max="1539" width="9.140625" style="136"/>
    <col min="1540" max="1540" width="5.28515625" style="136" customWidth="1"/>
    <col min="1541" max="1541" width="18.7109375" style="136" customWidth="1"/>
    <col min="1542" max="1542" width="14.7109375" style="136" customWidth="1"/>
    <col min="1543" max="1546" width="12.7109375" style="136" customWidth="1"/>
    <col min="1547" max="1549" width="13.7109375" style="136" customWidth="1"/>
    <col min="1550" max="1550" width="14.85546875" style="136" customWidth="1"/>
    <col min="1551" max="1551" width="20.85546875" style="136" customWidth="1"/>
    <col min="1552" max="1553" width="14.7109375" style="136" customWidth="1"/>
    <col min="1554" max="1795" width="9.140625" style="136"/>
    <col min="1796" max="1796" width="5.28515625" style="136" customWidth="1"/>
    <col min="1797" max="1797" width="18.7109375" style="136" customWidth="1"/>
    <col min="1798" max="1798" width="14.7109375" style="136" customWidth="1"/>
    <col min="1799" max="1802" width="12.7109375" style="136" customWidth="1"/>
    <col min="1803" max="1805" width="13.7109375" style="136" customWidth="1"/>
    <col min="1806" max="1806" width="14.85546875" style="136" customWidth="1"/>
    <col min="1807" max="1807" width="20.85546875" style="136" customWidth="1"/>
    <col min="1808" max="1809" width="14.7109375" style="136" customWidth="1"/>
    <col min="1810" max="2051" width="9.140625" style="136"/>
    <col min="2052" max="2052" width="5.28515625" style="136" customWidth="1"/>
    <col min="2053" max="2053" width="18.7109375" style="136" customWidth="1"/>
    <col min="2054" max="2054" width="14.7109375" style="136" customWidth="1"/>
    <col min="2055" max="2058" width="12.7109375" style="136" customWidth="1"/>
    <col min="2059" max="2061" width="13.7109375" style="136" customWidth="1"/>
    <col min="2062" max="2062" width="14.85546875" style="136" customWidth="1"/>
    <col min="2063" max="2063" width="20.85546875" style="136" customWidth="1"/>
    <col min="2064" max="2065" width="14.7109375" style="136" customWidth="1"/>
    <col min="2066" max="2307" width="9.140625" style="136"/>
    <col min="2308" max="2308" width="5.28515625" style="136" customWidth="1"/>
    <col min="2309" max="2309" width="18.7109375" style="136" customWidth="1"/>
    <col min="2310" max="2310" width="14.7109375" style="136" customWidth="1"/>
    <col min="2311" max="2314" width="12.7109375" style="136" customWidth="1"/>
    <col min="2315" max="2317" width="13.7109375" style="136" customWidth="1"/>
    <col min="2318" max="2318" width="14.85546875" style="136" customWidth="1"/>
    <col min="2319" max="2319" width="20.85546875" style="136" customWidth="1"/>
    <col min="2320" max="2321" width="14.7109375" style="136" customWidth="1"/>
    <col min="2322" max="2563" width="9.140625" style="136"/>
    <col min="2564" max="2564" width="5.28515625" style="136" customWidth="1"/>
    <col min="2565" max="2565" width="18.7109375" style="136" customWidth="1"/>
    <col min="2566" max="2566" width="14.7109375" style="136" customWidth="1"/>
    <col min="2567" max="2570" width="12.7109375" style="136" customWidth="1"/>
    <col min="2571" max="2573" width="13.7109375" style="136" customWidth="1"/>
    <col min="2574" max="2574" width="14.85546875" style="136" customWidth="1"/>
    <col min="2575" max="2575" width="20.85546875" style="136" customWidth="1"/>
    <col min="2576" max="2577" width="14.7109375" style="136" customWidth="1"/>
    <col min="2578" max="2819" width="9.140625" style="136"/>
    <col min="2820" max="2820" width="5.28515625" style="136" customWidth="1"/>
    <col min="2821" max="2821" width="18.7109375" style="136" customWidth="1"/>
    <col min="2822" max="2822" width="14.7109375" style="136" customWidth="1"/>
    <col min="2823" max="2826" width="12.7109375" style="136" customWidth="1"/>
    <col min="2827" max="2829" width="13.7109375" style="136" customWidth="1"/>
    <col min="2830" max="2830" width="14.85546875" style="136" customWidth="1"/>
    <col min="2831" max="2831" width="20.85546875" style="136" customWidth="1"/>
    <col min="2832" max="2833" width="14.7109375" style="136" customWidth="1"/>
    <col min="2834" max="3075" width="9.140625" style="136"/>
    <col min="3076" max="3076" width="5.28515625" style="136" customWidth="1"/>
    <col min="3077" max="3077" width="18.7109375" style="136" customWidth="1"/>
    <col min="3078" max="3078" width="14.7109375" style="136" customWidth="1"/>
    <col min="3079" max="3082" width="12.7109375" style="136" customWidth="1"/>
    <col min="3083" max="3085" width="13.7109375" style="136" customWidth="1"/>
    <col min="3086" max="3086" width="14.85546875" style="136" customWidth="1"/>
    <col min="3087" max="3087" width="20.85546875" style="136" customWidth="1"/>
    <col min="3088" max="3089" width="14.7109375" style="136" customWidth="1"/>
    <col min="3090" max="3331" width="9.140625" style="136"/>
    <col min="3332" max="3332" width="5.28515625" style="136" customWidth="1"/>
    <col min="3333" max="3333" width="18.7109375" style="136" customWidth="1"/>
    <col min="3334" max="3334" width="14.7109375" style="136" customWidth="1"/>
    <col min="3335" max="3338" width="12.7109375" style="136" customWidth="1"/>
    <col min="3339" max="3341" width="13.7109375" style="136" customWidth="1"/>
    <col min="3342" max="3342" width="14.85546875" style="136" customWidth="1"/>
    <col min="3343" max="3343" width="20.85546875" style="136" customWidth="1"/>
    <col min="3344" max="3345" width="14.7109375" style="136" customWidth="1"/>
    <col min="3346" max="3587" width="9.140625" style="136"/>
    <col min="3588" max="3588" width="5.28515625" style="136" customWidth="1"/>
    <col min="3589" max="3589" width="18.7109375" style="136" customWidth="1"/>
    <col min="3590" max="3590" width="14.7109375" style="136" customWidth="1"/>
    <col min="3591" max="3594" width="12.7109375" style="136" customWidth="1"/>
    <col min="3595" max="3597" width="13.7109375" style="136" customWidth="1"/>
    <col min="3598" max="3598" width="14.85546875" style="136" customWidth="1"/>
    <col min="3599" max="3599" width="20.85546875" style="136" customWidth="1"/>
    <col min="3600" max="3601" width="14.7109375" style="136" customWidth="1"/>
    <col min="3602" max="3843" width="9.140625" style="136"/>
    <col min="3844" max="3844" width="5.28515625" style="136" customWidth="1"/>
    <col min="3845" max="3845" width="18.7109375" style="136" customWidth="1"/>
    <col min="3846" max="3846" width="14.7109375" style="136" customWidth="1"/>
    <col min="3847" max="3850" width="12.7109375" style="136" customWidth="1"/>
    <col min="3851" max="3853" width="13.7109375" style="136" customWidth="1"/>
    <col min="3854" max="3854" width="14.85546875" style="136" customWidth="1"/>
    <col min="3855" max="3855" width="20.85546875" style="136" customWidth="1"/>
    <col min="3856" max="3857" width="14.7109375" style="136" customWidth="1"/>
    <col min="3858" max="4099" width="9.140625" style="136"/>
    <col min="4100" max="4100" width="5.28515625" style="136" customWidth="1"/>
    <col min="4101" max="4101" width="18.7109375" style="136" customWidth="1"/>
    <col min="4102" max="4102" width="14.7109375" style="136" customWidth="1"/>
    <col min="4103" max="4106" width="12.7109375" style="136" customWidth="1"/>
    <col min="4107" max="4109" width="13.7109375" style="136" customWidth="1"/>
    <col min="4110" max="4110" width="14.85546875" style="136" customWidth="1"/>
    <col min="4111" max="4111" width="20.85546875" style="136" customWidth="1"/>
    <col min="4112" max="4113" width="14.7109375" style="136" customWidth="1"/>
    <col min="4114" max="4355" width="9.140625" style="136"/>
    <col min="4356" max="4356" width="5.28515625" style="136" customWidth="1"/>
    <col min="4357" max="4357" width="18.7109375" style="136" customWidth="1"/>
    <col min="4358" max="4358" width="14.7109375" style="136" customWidth="1"/>
    <col min="4359" max="4362" width="12.7109375" style="136" customWidth="1"/>
    <col min="4363" max="4365" width="13.7109375" style="136" customWidth="1"/>
    <col min="4366" max="4366" width="14.85546875" style="136" customWidth="1"/>
    <col min="4367" max="4367" width="20.85546875" style="136" customWidth="1"/>
    <col min="4368" max="4369" width="14.7109375" style="136" customWidth="1"/>
    <col min="4370" max="4611" width="9.140625" style="136"/>
    <col min="4612" max="4612" width="5.28515625" style="136" customWidth="1"/>
    <col min="4613" max="4613" width="18.7109375" style="136" customWidth="1"/>
    <col min="4614" max="4614" width="14.7109375" style="136" customWidth="1"/>
    <col min="4615" max="4618" width="12.7109375" style="136" customWidth="1"/>
    <col min="4619" max="4621" width="13.7109375" style="136" customWidth="1"/>
    <col min="4622" max="4622" width="14.85546875" style="136" customWidth="1"/>
    <col min="4623" max="4623" width="20.85546875" style="136" customWidth="1"/>
    <col min="4624" max="4625" width="14.7109375" style="136" customWidth="1"/>
    <col min="4626" max="4867" width="9.140625" style="136"/>
    <col min="4868" max="4868" width="5.28515625" style="136" customWidth="1"/>
    <col min="4869" max="4869" width="18.7109375" style="136" customWidth="1"/>
    <col min="4870" max="4870" width="14.7109375" style="136" customWidth="1"/>
    <col min="4871" max="4874" width="12.7109375" style="136" customWidth="1"/>
    <col min="4875" max="4877" width="13.7109375" style="136" customWidth="1"/>
    <col min="4878" max="4878" width="14.85546875" style="136" customWidth="1"/>
    <col min="4879" max="4879" width="20.85546875" style="136" customWidth="1"/>
    <col min="4880" max="4881" width="14.7109375" style="136" customWidth="1"/>
    <col min="4882" max="5123" width="9.140625" style="136"/>
    <col min="5124" max="5124" width="5.28515625" style="136" customWidth="1"/>
    <col min="5125" max="5125" width="18.7109375" style="136" customWidth="1"/>
    <col min="5126" max="5126" width="14.7109375" style="136" customWidth="1"/>
    <col min="5127" max="5130" width="12.7109375" style="136" customWidth="1"/>
    <col min="5131" max="5133" width="13.7109375" style="136" customWidth="1"/>
    <col min="5134" max="5134" width="14.85546875" style="136" customWidth="1"/>
    <col min="5135" max="5135" width="20.85546875" style="136" customWidth="1"/>
    <col min="5136" max="5137" width="14.7109375" style="136" customWidth="1"/>
    <col min="5138" max="5379" width="9.140625" style="136"/>
    <col min="5380" max="5380" width="5.28515625" style="136" customWidth="1"/>
    <col min="5381" max="5381" width="18.7109375" style="136" customWidth="1"/>
    <col min="5382" max="5382" width="14.7109375" style="136" customWidth="1"/>
    <col min="5383" max="5386" width="12.7109375" style="136" customWidth="1"/>
    <col min="5387" max="5389" width="13.7109375" style="136" customWidth="1"/>
    <col min="5390" max="5390" width="14.85546875" style="136" customWidth="1"/>
    <col min="5391" max="5391" width="20.85546875" style="136" customWidth="1"/>
    <col min="5392" max="5393" width="14.7109375" style="136" customWidth="1"/>
    <col min="5394" max="5635" width="9.140625" style="136"/>
    <col min="5636" max="5636" width="5.28515625" style="136" customWidth="1"/>
    <col min="5637" max="5637" width="18.7109375" style="136" customWidth="1"/>
    <col min="5638" max="5638" width="14.7109375" style="136" customWidth="1"/>
    <col min="5639" max="5642" width="12.7109375" style="136" customWidth="1"/>
    <col min="5643" max="5645" width="13.7109375" style="136" customWidth="1"/>
    <col min="5646" max="5646" width="14.85546875" style="136" customWidth="1"/>
    <col min="5647" max="5647" width="20.85546875" style="136" customWidth="1"/>
    <col min="5648" max="5649" width="14.7109375" style="136" customWidth="1"/>
    <col min="5650" max="5891" width="9.140625" style="136"/>
    <col min="5892" max="5892" width="5.28515625" style="136" customWidth="1"/>
    <col min="5893" max="5893" width="18.7109375" style="136" customWidth="1"/>
    <col min="5894" max="5894" width="14.7109375" style="136" customWidth="1"/>
    <col min="5895" max="5898" width="12.7109375" style="136" customWidth="1"/>
    <col min="5899" max="5901" width="13.7109375" style="136" customWidth="1"/>
    <col min="5902" max="5902" width="14.85546875" style="136" customWidth="1"/>
    <col min="5903" max="5903" width="20.85546875" style="136" customWidth="1"/>
    <col min="5904" max="5905" width="14.7109375" style="136" customWidth="1"/>
    <col min="5906" max="6147" width="9.140625" style="136"/>
    <col min="6148" max="6148" width="5.28515625" style="136" customWidth="1"/>
    <col min="6149" max="6149" width="18.7109375" style="136" customWidth="1"/>
    <col min="6150" max="6150" width="14.7109375" style="136" customWidth="1"/>
    <col min="6151" max="6154" width="12.7109375" style="136" customWidth="1"/>
    <col min="6155" max="6157" width="13.7109375" style="136" customWidth="1"/>
    <col min="6158" max="6158" width="14.85546875" style="136" customWidth="1"/>
    <col min="6159" max="6159" width="20.85546875" style="136" customWidth="1"/>
    <col min="6160" max="6161" width="14.7109375" style="136" customWidth="1"/>
    <col min="6162" max="6403" width="9.140625" style="136"/>
    <col min="6404" max="6404" width="5.28515625" style="136" customWidth="1"/>
    <col min="6405" max="6405" width="18.7109375" style="136" customWidth="1"/>
    <col min="6406" max="6406" width="14.7109375" style="136" customWidth="1"/>
    <col min="6407" max="6410" width="12.7109375" style="136" customWidth="1"/>
    <col min="6411" max="6413" width="13.7109375" style="136" customWidth="1"/>
    <col min="6414" max="6414" width="14.85546875" style="136" customWidth="1"/>
    <col min="6415" max="6415" width="20.85546875" style="136" customWidth="1"/>
    <col min="6416" max="6417" width="14.7109375" style="136" customWidth="1"/>
    <col min="6418" max="6659" width="9.140625" style="136"/>
    <col min="6660" max="6660" width="5.28515625" style="136" customWidth="1"/>
    <col min="6661" max="6661" width="18.7109375" style="136" customWidth="1"/>
    <col min="6662" max="6662" width="14.7109375" style="136" customWidth="1"/>
    <col min="6663" max="6666" width="12.7109375" style="136" customWidth="1"/>
    <col min="6667" max="6669" width="13.7109375" style="136" customWidth="1"/>
    <col min="6670" max="6670" width="14.85546875" style="136" customWidth="1"/>
    <col min="6671" max="6671" width="20.85546875" style="136" customWidth="1"/>
    <col min="6672" max="6673" width="14.7109375" style="136" customWidth="1"/>
    <col min="6674" max="6915" width="9.140625" style="136"/>
    <col min="6916" max="6916" width="5.28515625" style="136" customWidth="1"/>
    <col min="6917" max="6917" width="18.7109375" style="136" customWidth="1"/>
    <col min="6918" max="6918" width="14.7109375" style="136" customWidth="1"/>
    <col min="6919" max="6922" width="12.7109375" style="136" customWidth="1"/>
    <col min="6923" max="6925" width="13.7109375" style="136" customWidth="1"/>
    <col min="6926" max="6926" width="14.85546875" style="136" customWidth="1"/>
    <col min="6927" max="6927" width="20.85546875" style="136" customWidth="1"/>
    <col min="6928" max="6929" width="14.7109375" style="136" customWidth="1"/>
    <col min="6930" max="7171" width="9.140625" style="136"/>
    <col min="7172" max="7172" width="5.28515625" style="136" customWidth="1"/>
    <col min="7173" max="7173" width="18.7109375" style="136" customWidth="1"/>
    <col min="7174" max="7174" width="14.7109375" style="136" customWidth="1"/>
    <col min="7175" max="7178" width="12.7109375" style="136" customWidth="1"/>
    <col min="7179" max="7181" width="13.7109375" style="136" customWidth="1"/>
    <col min="7182" max="7182" width="14.85546875" style="136" customWidth="1"/>
    <col min="7183" max="7183" width="20.85546875" style="136" customWidth="1"/>
    <col min="7184" max="7185" width="14.7109375" style="136" customWidth="1"/>
    <col min="7186" max="7427" width="9.140625" style="136"/>
    <col min="7428" max="7428" width="5.28515625" style="136" customWidth="1"/>
    <col min="7429" max="7429" width="18.7109375" style="136" customWidth="1"/>
    <col min="7430" max="7430" width="14.7109375" style="136" customWidth="1"/>
    <col min="7431" max="7434" width="12.7109375" style="136" customWidth="1"/>
    <col min="7435" max="7437" width="13.7109375" style="136" customWidth="1"/>
    <col min="7438" max="7438" width="14.85546875" style="136" customWidth="1"/>
    <col min="7439" max="7439" width="20.85546875" style="136" customWidth="1"/>
    <col min="7440" max="7441" width="14.7109375" style="136" customWidth="1"/>
    <col min="7442" max="7683" width="9.140625" style="136"/>
    <col min="7684" max="7684" width="5.28515625" style="136" customWidth="1"/>
    <col min="7685" max="7685" width="18.7109375" style="136" customWidth="1"/>
    <col min="7686" max="7686" width="14.7109375" style="136" customWidth="1"/>
    <col min="7687" max="7690" width="12.7109375" style="136" customWidth="1"/>
    <col min="7691" max="7693" width="13.7109375" style="136" customWidth="1"/>
    <col min="7694" max="7694" width="14.85546875" style="136" customWidth="1"/>
    <col min="7695" max="7695" width="20.85546875" style="136" customWidth="1"/>
    <col min="7696" max="7697" width="14.7109375" style="136" customWidth="1"/>
    <col min="7698" max="7939" width="9.140625" style="136"/>
    <col min="7940" max="7940" width="5.28515625" style="136" customWidth="1"/>
    <col min="7941" max="7941" width="18.7109375" style="136" customWidth="1"/>
    <col min="7942" max="7942" width="14.7109375" style="136" customWidth="1"/>
    <col min="7943" max="7946" width="12.7109375" style="136" customWidth="1"/>
    <col min="7947" max="7949" width="13.7109375" style="136" customWidth="1"/>
    <col min="7950" max="7950" width="14.85546875" style="136" customWidth="1"/>
    <col min="7951" max="7951" width="20.85546875" style="136" customWidth="1"/>
    <col min="7952" max="7953" width="14.7109375" style="136" customWidth="1"/>
    <col min="7954" max="8195" width="9.140625" style="136"/>
    <col min="8196" max="8196" width="5.28515625" style="136" customWidth="1"/>
    <col min="8197" max="8197" width="18.7109375" style="136" customWidth="1"/>
    <col min="8198" max="8198" width="14.7109375" style="136" customWidth="1"/>
    <col min="8199" max="8202" width="12.7109375" style="136" customWidth="1"/>
    <col min="8203" max="8205" width="13.7109375" style="136" customWidth="1"/>
    <col min="8206" max="8206" width="14.85546875" style="136" customWidth="1"/>
    <col min="8207" max="8207" width="20.85546875" style="136" customWidth="1"/>
    <col min="8208" max="8209" width="14.7109375" style="136" customWidth="1"/>
    <col min="8210" max="8451" width="9.140625" style="136"/>
    <col min="8452" max="8452" width="5.28515625" style="136" customWidth="1"/>
    <col min="8453" max="8453" width="18.7109375" style="136" customWidth="1"/>
    <col min="8454" max="8454" width="14.7109375" style="136" customWidth="1"/>
    <col min="8455" max="8458" width="12.7109375" style="136" customWidth="1"/>
    <col min="8459" max="8461" width="13.7109375" style="136" customWidth="1"/>
    <col min="8462" max="8462" width="14.85546875" style="136" customWidth="1"/>
    <col min="8463" max="8463" width="20.85546875" style="136" customWidth="1"/>
    <col min="8464" max="8465" width="14.7109375" style="136" customWidth="1"/>
    <col min="8466" max="8707" width="9.140625" style="136"/>
    <col min="8708" max="8708" width="5.28515625" style="136" customWidth="1"/>
    <col min="8709" max="8709" width="18.7109375" style="136" customWidth="1"/>
    <col min="8710" max="8710" width="14.7109375" style="136" customWidth="1"/>
    <col min="8711" max="8714" width="12.7109375" style="136" customWidth="1"/>
    <col min="8715" max="8717" width="13.7109375" style="136" customWidth="1"/>
    <col min="8718" max="8718" width="14.85546875" style="136" customWidth="1"/>
    <col min="8719" max="8719" width="20.85546875" style="136" customWidth="1"/>
    <col min="8720" max="8721" width="14.7109375" style="136" customWidth="1"/>
    <col min="8722" max="8963" width="9.140625" style="136"/>
    <col min="8964" max="8964" width="5.28515625" style="136" customWidth="1"/>
    <col min="8965" max="8965" width="18.7109375" style="136" customWidth="1"/>
    <col min="8966" max="8966" width="14.7109375" style="136" customWidth="1"/>
    <col min="8967" max="8970" width="12.7109375" style="136" customWidth="1"/>
    <col min="8971" max="8973" width="13.7109375" style="136" customWidth="1"/>
    <col min="8974" max="8974" width="14.85546875" style="136" customWidth="1"/>
    <col min="8975" max="8975" width="20.85546875" style="136" customWidth="1"/>
    <col min="8976" max="8977" width="14.7109375" style="136" customWidth="1"/>
    <col min="8978" max="9219" width="9.140625" style="136"/>
    <col min="9220" max="9220" width="5.28515625" style="136" customWidth="1"/>
    <col min="9221" max="9221" width="18.7109375" style="136" customWidth="1"/>
    <col min="9222" max="9222" width="14.7109375" style="136" customWidth="1"/>
    <col min="9223" max="9226" width="12.7109375" style="136" customWidth="1"/>
    <col min="9227" max="9229" width="13.7109375" style="136" customWidth="1"/>
    <col min="9230" max="9230" width="14.85546875" style="136" customWidth="1"/>
    <col min="9231" max="9231" width="20.85546875" style="136" customWidth="1"/>
    <col min="9232" max="9233" width="14.7109375" style="136" customWidth="1"/>
    <col min="9234" max="9475" width="9.140625" style="136"/>
    <col min="9476" max="9476" width="5.28515625" style="136" customWidth="1"/>
    <col min="9477" max="9477" width="18.7109375" style="136" customWidth="1"/>
    <col min="9478" max="9478" width="14.7109375" style="136" customWidth="1"/>
    <col min="9479" max="9482" width="12.7109375" style="136" customWidth="1"/>
    <col min="9483" max="9485" width="13.7109375" style="136" customWidth="1"/>
    <col min="9486" max="9486" width="14.85546875" style="136" customWidth="1"/>
    <col min="9487" max="9487" width="20.85546875" style="136" customWidth="1"/>
    <col min="9488" max="9489" width="14.7109375" style="136" customWidth="1"/>
    <col min="9490" max="9731" width="9.140625" style="136"/>
    <col min="9732" max="9732" width="5.28515625" style="136" customWidth="1"/>
    <col min="9733" max="9733" width="18.7109375" style="136" customWidth="1"/>
    <col min="9734" max="9734" width="14.7109375" style="136" customWidth="1"/>
    <col min="9735" max="9738" width="12.7109375" style="136" customWidth="1"/>
    <col min="9739" max="9741" width="13.7109375" style="136" customWidth="1"/>
    <col min="9742" max="9742" width="14.85546875" style="136" customWidth="1"/>
    <col min="9743" max="9743" width="20.85546875" style="136" customWidth="1"/>
    <col min="9744" max="9745" width="14.7109375" style="136" customWidth="1"/>
    <col min="9746" max="9987" width="9.140625" style="136"/>
    <col min="9988" max="9988" width="5.28515625" style="136" customWidth="1"/>
    <col min="9989" max="9989" width="18.7109375" style="136" customWidth="1"/>
    <col min="9990" max="9990" width="14.7109375" style="136" customWidth="1"/>
    <col min="9991" max="9994" width="12.7109375" style="136" customWidth="1"/>
    <col min="9995" max="9997" width="13.7109375" style="136" customWidth="1"/>
    <col min="9998" max="9998" width="14.85546875" style="136" customWidth="1"/>
    <col min="9999" max="9999" width="20.85546875" style="136" customWidth="1"/>
    <col min="10000" max="10001" width="14.7109375" style="136" customWidth="1"/>
    <col min="10002" max="10243" width="9.140625" style="136"/>
    <col min="10244" max="10244" width="5.28515625" style="136" customWidth="1"/>
    <col min="10245" max="10245" width="18.7109375" style="136" customWidth="1"/>
    <col min="10246" max="10246" width="14.7109375" style="136" customWidth="1"/>
    <col min="10247" max="10250" width="12.7109375" style="136" customWidth="1"/>
    <col min="10251" max="10253" width="13.7109375" style="136" customWidth="1"/>
    <col min="10254" max="10254" width="14.85546875" style="136" customWidth="1"/>
    <col min="10255" max="10255" width="20.85546875" style="136" customWidth="1"/>
    <col min="10256" max="10257" width="14.7109375" style="136" customWidth="1"/>
    <col min="10258" max="10499" width="9.140625" style="136"/>
    <col min="10500" max="10500" width="5.28515625" style="136" customWidth="1"/>
    <col min="10501" max="10501" width="18.7109375" style="136" customWidth="1"/>
    <col min="10502" max="10502" width="14.7109375" style="136" customWidth="1"/>
    <col min="10503" max="10506" width="12.7109375" style="136" customWidth="1"/>
    <col min="10507" max="10509" width="13.7109375" style="136" customWidth="1"/>
    <col min="10510" max="10510" width="14.85546875" style="136" customWidth="1"/>
    <col min="10511" max="10511" width="20.85546875" style="136" customWidth="1"/>
    <col min="10512" max="10513" width="14.7109375" style="136" customWidth="1"/>
    <col min="10514" max="10755" width="9.140625" style="136"/>
    <col min="10756" max="10756" width="5.28515625" style="136" customWidth="1"/>
    <col min="10757" max="10757" width="18.7109375" style="136" customWidth="1"/>
    <col min="10758" max="10758" width="14.7109375" style="136" customWidth="1"/>
    <col min="10759" max="10762" width="12.7109375" style="136" customWidth="1"/>
    <col min="10763" max="10765" width="13.7109375" style="136" customWidth="1"/>
    <col min="10766" max="10766" width="14.85546875" style="136" customWidth="1"/>
    <col min="10767" max="10767" width="20.85546875" style="136" customWidth="1"/>
    <col min="10768" max="10769" width="14.7109375" style="136" customWidth="1"/>
    <col min="10770" max="11011" width="9.140625" style="136"/>
    <col min="11012" max="11012" width="5.28515625" style="136" customWidth="1"/>
    <col min="11013" max="11013" width="18.7109375" style="136" customWidth="1"/>
    <col min="11014" max="11014" width="14.7109375" style="136" customWidth="1"/>
    <col min="11015" max="11018" width="12.7109375" style="136" customWidth="1"/>
    <col min="11019" max="11021" width="13.7109375" style="136" customWidth="1"/>
    <col min="11022" max="11022" width="14.85546875" style="136" customWidth="1"/>
    <col min="11023" max="11023" width="20.85546875" style="136" customWidth="1"/>
    <col min="11024" max="11025" width="14.7109375" style="136" customWidth="1"/>
    <col min="11026" max="11267" width="9.140625" style="136"/>
    <col min="11268" max="11268" width="5.28515625" style="136" customWidth="1"/>
    <col min="11269" max="11269" width="18.7109375" style="136" customWidth="1"/>
    <col min="11270" max="11270" width="14.7109375" style="136" customWidth="1"/>
    <col min="11271" max="11274" width="12.7109375" style="136" customWidth="1"/>
    <col min="11275" max="11277" width="13.7109375" style="136" customWidth="1"/>
    <col min="11278" max="11278" width="14.85546875" style="136" customWidth="1"/>
    <col min="11279" max="11279" width="20.85546875" style="136" customWidth="1"/>
    <col min="11280" max="11281" width="14.7109375" style="136" customWidth="1"/>
    <col min="11282" max="11523" width="9.140625" style="136"/>
    <col min="11524" max="11524" width="5.28515625" style="136" customWidth="1"/>
    <col min="11525" max="11525" width="18.7109375" style="136" customWidth="1"/>
    <col min="11526" max="11526" width="14.7109375" style="136" customWidth="1"/>
    <col min="11527" max="11530" width="12.7109375" style="136" customWidth="1"/>
    <col min="11531" max="11533" width="13.7109375" style="136" customWidth="1"/>
    <col min="11534" max="11534" width="14.85546875" style="136" customWidth="1"/>
    <col min="11535" max="11535" width="20.85546875" style="136" customWidth="1"/>
    <col min="11536" max="11537" width="14.7109375" style="136" customWidth="1"/>
    <col min="11538" max="11779" width="9.140625" style="136"/>
    <col min="11780" max="11780" width="5.28515625" style="136" customWidth="1"/>
    <col min="11781" max="11781" width="18.7109375" style="136" customWidth="1"/>
    <col min="11782" max="11782" width="14.7109375" style="136" customWidth="1"/>
    <col min="11783" max="11786" width="12.7109375" style="136" customWidth="1"/>
    <col min="11787" max="11789" width="13.7109375" style="136" customWidth="1"/>
    <col min="11790" max="11790" width="14.85546875" style="136" customWidth="1"/>
    <col min="11791" max="11791" width="20.85546875" style="136" customWidth="1"/>
    <col min="11792" max="11793" width="14.7109375" style="136" customWidth="1"/>
    <col min="11794" max="12035" width="9.140625" style="136"/>
    <col min="12036" max="12036" width="5.28515625" style="136" customWidth="1"/>
    <col min="12037" max="12037" width="18.7109375" style="136" customWidth="1"/>
    <col min="12038" max="12038" width="14.7109375" style="136" customWidth="1"/>
    <col min="12039" max="12042" width="12.7109375" style="136" customWidth="1"/>
    <col min="12043" max="12045" width="13.7109375" style="136" customWidth="1"/>
    <col min="12046" max="12046" width="14.85546875" style="136" customWidth="1"/>
    <col min="12047" max="12047" width="20.85546875" style="136" customWidth="1"/>
    <col min="12048" max="12049" width="14.7109375" style="136" customWidth="1"/>
    <col min="12050" max="12291" width="9.140625" style="136"/>
    <col min="12292" max="12292" width="5.28515625" style="136" customWidth="1"/>
    <col min="12293" max="12293" width="18.7109375" style="136" customWidth="1"/>
    <col min="12294" max="12294" width="14.7109375" style="136" customWidth="1"/>
    <col min="12295" max="12298" width="12.7109375" style="136" customWidth="1"/>
    <col min="12299" max="12301" width="13.7109375" style="136" customWidth="1"/>
    <col min="12302" max="12302" width="14.85546875" style="136" customWidth="1"/>
    <col min="12303" max="12303" width="20.85546875" style="136" customWidth="1"/>
    <col min="12304" max="12305" width="14.7109375" style="136" customWidth="1"/>
    <col min="12306" max="12547" width="9.140625" style="136"/>
    <col min="12548" max="12548" width="5.28515625" style="136" customWidth="1"/>
    <col min="12549" max="12549" width="18.7109375" style="136" customWidth="1"/>
    <col min="12550" max="12550" width="14.7109375" style="136" customWidth="1"/>
    <col min="12551" max="12554" width="12.7109375" style="136" customWidth="1"/>
    <col min="12555" max="12557" width="13.7109375" style="136" customWidth="1"/>
    <col min="12558" max="12558" width="14.85546875" style="136" customWidth="1"/>
    <col min="12559" max="12559" width="20.85546875" style="136" customWidth="1"/>
    <col min="12560" max="12561" width="14.7109375" style="136" customWidth="1"/>
    <col min="12562" max="12803" width="9.140625" style="136"/>
    <col min="12804" max="12804" width="5.28515625" style="136" customWidth="1"/>
    <col min="12805" max="12805" width="18.7109375" style="136" customWidth="1"/>
    <col min="12806" max="12806" width="14.7109375" style="136" customWidth="1"/>
    <col min="12807" max="12810" width="12.7109375" style="136" customWidth="1"/>
    <col min="12811" max="12813" width="13.7109375" style="136" customWidth="1"/>
    <col min="12814" max="12814" width="14.85546875" style="136" customWidth="1"/>
    <col min="12815" max="12815" width="20.85546875" style="136" customWidth="1"/>
    <col min="12816" max="12817" width="14.7109375" style="136" customWidth="1"/>
    <col min="12818" max="13059" width="9.140625" style="136"/>
    <col min="13060" max="13060" width="5.28515625" style="136" customWidth="1"/>
    <col min="13061" max="13061" width="18.7109375" style="136" customWidth="1"/>
    <col min="13062" max="13062" width="14.7109375" style="136" customWidth="1"/>
    <col min="13063" max="13066" width="12.7109375" style="136" customWidth="1"/>
    <col min="13067" max="13069" width="13.7109375" style="136" customWidth="1"/>
    <col min="13070" max="13070" width="14.85546875" style="136" customWidth="1"/>
    <col min="13071" max="13071" width="20.85546875" style="136" customWidth="1"/>
    <col min="13072" max="13073" width="14.7109375" style="136" customWidth="1"/>
    <col min="13074" max="13315" width="9.140625" style="136"/>
    <col min="13316" max="13316" width="5.28515625" style="136" customWidth="1"/>
    <col min="13317" max="13317" width="18.7109375" style="136" customWidth="1"/>
    <col min="13318" max="13318" width="14.7109375" style="136" customWidth="1"/>
    <col min="13319" max="13322" width="12.7109375" style="136" customWidth="1"/>
    <col min="13323" max="13325" width="13.7109375" style="136" customWidth="1"/>
    <col min="13326" max="13326" width="14.85546875" style="136" customWidth="1"/>
    <col min="13327" max="13327" width="20.85546875" style="136" customWidth="1"/>
    <col min="13328" max="13329" width="14.7109375" style="136" customWidth="1"/>
    <col min="13330" max="13571" width="9.140625" style="136"/>
    <col min="13572" max="13572" width="5.28515625" style="136" customWidth="1"/>
    <col min="13573" max="13573" width="18.7109375" style="136" customWidth="1"/>
    <col min="13574" max="13574" width="14.7109375" style="136" customWidth="1"/>
    <col min="13575" max="13578" width="12.7109375" style="136" customWidth="1"/>
    <col min="13579" max="13581" width="13.7109375" style="136" customWidth="1"/>
    <col min="13582" max="13582" width="14.85546875" style="136" customWidth="1"/>
    <col min="13583" max="13583" width="20.85546875" style="136" customWidth="1"/>
    <col min="13584" max="13585" width="14.7109375" style="136" customWidth="1"/>
    <col min="13586" max="13827" width="9.140625" style="136"/>
    <col min="13828" max="13828" width="5.28515625" style="136" customWidth="1"/>
    <col min="13829" max="13829" width="18.7109375" style="136" customWidth="1"/>
    <col min="13830" max="13830" width="14.7109375" style="136" customWidth="1"/>
    <col min="13831" max="13834" width="12.7109375" style="136" customWidth="1"/>
    <col min="13835" max="13837" width="13.7109375" style="136" customWidth="1"/>
    <col min="13838" max="13838" width="14.85546875" style="136" customWidth="1"/>
    <col min="13839" max="13839" width="20.85546875" style="136" customWidth="1"/>
    <col min="13840" max="13841" width="14.7109375" style="136" customWidth="1"/>
    <col min="13842" max="14083" width="9.140625" style="136"/>
    <col min="14084" max="14084" width="5.28515625" style="136" customWidth="1"/>
    <col min="14085" max="14085" width="18.7109375" style="136" customWidth="1"/>
    <col min="14086" max="14086" width="14.7109375" style="136" customWidth="1"/>
    <col min="14087" max="14090" width="12.7109375" style="136" customWidth="1"/>
    <col min="14091" max="14093" width="13.7109375" style="136" customWidth="1"/>
    <col min="14094" max="14094" width="14.85546875" style="136" customWidth="1"/>
    <col min="14095" max="14095" width="20.85546875" style="136" customWidth="1"/>
    <col min="14096" max="14097" width="14.7109375" style="136" customWidth="1"/>
    <col min="14098" max="14339" width="9.140625" style="136"/>
    <col min="14340" max="14340" width="5.28515625" style="136" customWidth="1"/>
    <col min="14341" max="14341" width="18.7109375" style="136" customWidth="1"/>
    <col min="14342" max="14342" width="14.7109375" style="136" customWidth="1"/>
    <col min="14343" max="14346" width="12.7109375" style="136" customWidth="1"/>
    <col min="14347" max="14349" width="13.7109375" style="136" customWidth="1"/>
    <col min="14350" max="14350" width="14.85546875" style="136" customWidth="1"/>
    <col min="14351" max="14351" width="20.85546875" style="136" customWidth="1"/>
    <col min="14352" max="14353" width="14.7109375" style="136" customWidth="1"/>
    <col min="14354" max="14595" width="9.140625" style="136"/>
    <col min="14596" max="14596" width="5.28515625" style="136" customWidth="1"/>
    <col min="14597" max="14597" width="18.7109375" style="136" customWidth="1"/>
    <col min="14598" max="14598" width="14.7109375" style="136" customWidth="1"/>
    <col min="14599" max="14602" width="12.7109375" style="136" customWidth="1"/>
    <col min="14603" max="14605" width="13.7109375" style="136" customWidth="1"/>
    <col min="14606" max="14606" width="14.85546875" style="136" customWidth="1"/>
    <col min="14607" max="14607" width="20.85546875" style="136" customWidth="1"/>
    <col min="14608" max="14609" width="14.7109375" style="136" customWidth="1"/>
    <col min="14610" max="14851" width="9.140625" style="136"/>
    <col min="14852" max="14852" width="5.28515625" style="136" customWidth="1"/>
    <col min="14853" max="14853" width="18.7109375" style="136" customWidth="1"/>
    <col min="14854" max="14854" width="14.7109375" style="136" customWidth="1"/>
    <col min="14855" max="14858" width="12.7109375" style="136" customWidth="1"/>
    <col min="14859" max="14861" width="13.7109375" style="136" customWidth="1"/>
    <col min="14862" max="14862" width="14.85546875" style="136" customWidth="1"/>
    <col min="14863" max="14863" width="20.85546875" style="136" customWidth="1"/>
    <col min="14864" max="14865" width="14.7109375" style="136" customWidth="1"/>
    <col min="14866" max="15107" width="9.140625" style="136"/>
    <col min="15108" max="15108" width="5.28515625" style="136" customWidth="1"/>
    <col min="15109" max="15109" width="18.7109375" style="136" customWidth="1"/>
    <col min="15110" max="15110" width="14.7109375" style="136" customWidth="1"/>
    <col min="15111" max="15114" width="12.7109375" style="136" customWidth="1"/>
    <col min="15115" max="15117" width="13.7109375" style="136" customWidth="1"/>
    <col min="15118" max="15118" width="14.85546875" style="136" customWidth="1"/>
    <col min="15119" max="15119" width="20.85546875" style="136" customWidth="1"/>
    <col min="15120" max="15121" width="14.7109375" style="136" customWidth="1"/>
    <col min="15122" max="15363" width="9.140625" style="136"/>
    <col min="15364" max="15364" width="5.28515625" style="136" customWidth="1"/>
    <col min="15365" max="15365" width="18.7109375" style="136" customWidth="1"/>
    <col min="15366" max="15366" width="14.7109375" style="136" customWidth="1"/>
    <col min="15367" max="15370" width="12.7109375" style="136" customWidth="1"/>
    <col min="15371" max="15373" width="13.7109375" style="136" customWidth="1"/>
    <col min="15374" max="15374" width="14.85546875" style="136" customWidth="1"/>
    <col min="15375" max="15375" width="20.85546875" style="136" customWidth="1"/>
    <col min="15376" max="15377" width="14.7109375" style="136" customWidth="1"/>
    <col min="15378" max="15619" width="9.140625" style="136"/>
    <col min="15620" max="15620" width="5.28515625" style="136" customWidth="1"/>
    <col min="15621" max="15621" width="18.7109375" style="136" customWidth="1"/>
    <col min="15622" max="15622" width="14.7109375" style="136" customWidth="1"/>
    <col min="15623" max="15626" width="12.7109375" style="136" customWidth="1"/>
    <col min="15627" max="15629" width="13.7109375" style="136" customWidth="1"/>
    <col min="15630" max="15630" width="14.85546875" style="136" customWidth="1"/>
    <col min="15631" max="15631" width="20.85546875" style="136" customWidth="1"/>
    <col min="15632" max="15633" width="14.7109375" style="136" customWidth="1"/>
    <col min="15634" max="15875" width="9.140625" style="136"/>
    <col min="15876" max="15876" width="5.28515625" style="136" customWidth="1"/>
    <col min="15877" max="15877" width="18.7109375" style="136" customWidth="1"/>
    <col min="15878" max="15878" width="14.7109375" style="136" customWidth="1"/>
    <col min="15879" max="15882" width="12.7109375" style="136" customWidth="1"/>
    <col min="15883" max="15885" width="13.7109375" style="136" customWidth="1"/>
    <col min="15886" max="15886" width="14.85546875" style="136" customWidth="1"/>
    <col min="15887" max="15887" width="20.85546875" style="136" customWidth="1"/>
    <col min="15888" max="15889" width="14.7109375" style="136" customWidth="1"/>
    <col min="15890" max="16131" width="9.140625" style="136"/>
    <col min="16132" max="16132" width="5.28515625" style="136" customWidth="1"/>
    <col min="16133" max="16133" width="18.7109375" style="136" customWidth="1"/>
    <col min="16134" max="16134" width="14.7109375" style="136" customWidth="1"/>
    <col min="16135" max="16138" width="12.7109375" style="136" customWidth="1"/>
    <col min="16139" max="16141" width="13.7109375" style="136" customWidth="1"/>
    <col min="16142" max="16142" width="14.85546875" style="136" customWidth="1"/>
    <col min="16143" max="16143" width="20.85546875" style="136" customWidth="1"/>
    <col min="16144" max="16145" width="14.7109375" style="136" customWidth="1"/>
    <col min="16146" max="16384" width="9.140625" style="136"/>
  </cols>
  <sheetData>
    <row r="1" spans="1:49" ht="20.100000000000001" x14ac:dyDescent="0.4">
      <c r="O1" s="290" t="s">
        <v>154</v>
      </c>
      <c r="P1" s="290"/>
    </row>
    <row r="2" spans="1:49" ht="20.100000000000001" x14ac:dyDescent="0.4">
      <c r="O2" s="293" t="s">
        <v>205</v>
      </c>
      <c r="P2" s="293"/>
      <c r="Q2" s="293"/>
    </row>
    <row r="3" spans="1:49" ht="20.100000000000001" x14ac:dyDescent="0.4">
      <c r="O3" s="168"/>
      <c r="P3" s="168"/>
      <c r="Q3" s="168"/>
    </row>
    <row r="4" spans="1:49" ht="20.100000000000001" x14ac:dyDescent="0.4">
      <c r="O4" s="168"/>
      <c r="P4" s="168"/>
      <c r="Q4" s="168"/>
    </row>
    <row r="5" spans="1:49" ht="30" x14ac:dyDescent="0.4">
      <c r="A5" s="288" t="s">
        <v>127</v>
      </c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</row>
    <row r="6" spans="1:49" ht="30" x14ac:dyDescent="0.3">
      <c r="A6" s="274" t="s">
        <v>174</v>
      </c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135"/>
      <c r="S6" s="135"/>
      <c r="T6" s="135"/>
      <c r="U6" s="135"/>
    </row>
    <row r="8" spans="1:49" s="138" customFormat="1" x14ac:dyDescent="0.25">
      <c r="A8" s="296" t="s">
        <v>128</v>
      </c>
      <c r="B8" s="296" t="s">
        <v>93</v>
      </c>
      <c r="C8" s="296" t="s">
        <v>4</v>
      </c>
      <c r="D8" s="296" t="s">
        <v>136</v>
      </c>
      <c r="E8" s="296" t="s">
        <v>129</v>
      </c>
      <c r="F8" s="296" t="s">
        <v>19</v>
      </c>
      <c r="G8" s="296" t="s">
        <v>130</v>
      </c>
      <c r="H8" s="137"/>
      <c r="I8" s="137"/>
      <c r="J8" s="137"/>
      <c r="K8" s="298" t="s">
        <v>131</v>
      </c>
      <c r="L8" s="299"/>
      <c r="M8" s="299"/>
      <c r="N8" s="299"/>
      <c r="O8" s="300"/>
      <c r="P8" s="301" t="s">
        <v>124</v>
      </c>
      <c r="Q8" s="296" t="s">
        <v>135</v>
      </c>
      <c r="V8" s="138" t="s">
        <v>5</v>
      </c>
    </row>
    <row r="9" spans="1:49" ht="40.5" x14ac:dyDescent="0.3">
      <c r="A9" s="297"/>
      <c r="B9" s="297"/>
      <c r="C9" s="297"/>
      <c r="D9" s="297"/>
      <c r="E9" s="297"/>
      <c r="F9" s="297"/>
      <c r="G9" s="297"/>
      <c r="H9" s="139" t="s">
        <v>104</v>
      </c>
      <c r="I9" s="139" t="s">
        <v>123</v>
      </c>
      <c r="J9" s="139" t="s">
        <v>105</v>
      </c>
      <c r="K9" s="140" t="s">
        <v>132</v>
      </c>
      <c r="L9" s="187" t="s">
        <v>133</v>
      </c>
      <c r="M9" s="140" t="s">
        <v>137</v>
      </c>
      <c r="N9" s="140" t="s">
        <v>134</v>
      </c>
      <c r="O9" s="140" t="s">
        <v>42</v>
      </c>
      <c r="P9" s="302"/>
      <c r="Q9" s="302"/>
    </row>
    <row r="10" spans="1:49" ht="20.100000000000001" customHeight="1" x14ac:dyDescent="0.3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2"/>
      <c r="L10" s="142"/>
      <c r="M10" s="142"/>
      <c r="N10" s="142"/>
      <c r="O10" s="142"/>
      <c r="P10" s="141"/>
      <c r="Q10" s="141"/>
      <c r="Y10" s="138"/>
      <c r="Z10" s="138"/>
    </row>
    <row r="11" spans="1:49" s="145" customFormat="1" ht="135.75" customHeight="1" x14ac:dyDescent="0.25">
      <c r="A11" s="143">
        <v>1</v>
      </c>
      <c r="B11" s="144" t="s">
        <v>169</v>
      </c>
      <c r="C11" s="193" t="s">
        <v>159</v>
      </c>
      <c r="D11" s="190" t="s">
        <v>160</v>
      </c>
      <c r="E11" s="145" t="s">
        <v>161</v>
      </c>
      <c r="F11" s="146" t="s">
        <v>162</v>
      </c>
      <c r="G11" s="145" t="s">
        <v>163</v>
      </c>
      <c r="H11" s="196">
        <f>'Rincian Biaya Perjadin'!I12</f>
        <v>2529207</v>
      </c>
      <c r="I11" s="186">
        <f>'Rincian Biaya Perjadin'!I14</f>
        <v>221000</v>
      </c>
      <c r="J11" s="186"/>
      <c r="K11" s="147">
        <f>SUM(H11:J11)</f>
        <v>2750207</v>
      </c>
      <c r="L11" s="148">
        <f>'Rincian Biaya Perjadin'!I13</f>
        <v>1350928</v>
      </c>
      <c r="M11" s="147">
        <f>'Rincian Biaya Perjadin'!I11</f>
        <v>1060000</v>
      </c>
      <c r="N11" s="147"/>
      <c r="O11" s="147">
        <f>SUM(K11:N11)</f>
        <v>5161135</v>
      </c>
      <c r="R11" s="138"/>
      <c r="S11" s="138" t="s">
        <v>5</v>
      </c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</row>
    <row r="12" spans="1:49" s="138" customFormat="1" ht="103.5" customHeight="1" x14ac:dyDescent="0.25">
      <c r="A12" s="143">
        <v>2</v>
      </c>
      <c r="B12" s="144" t="s">
        <v>170</v>
      </c>
      <c r="C12" s="193" t="s">
        <v>164</v>
      </c>
      <c r="D12" s="190" t="s">
        <v>165</v>
      </c>
      <c r="E12" s="145" t="s">
        <v>161</v>
      </c>
      <c r="F12" s="146" t="s">
        <v>162</v>
      </c>
      <c r="G12" s="145" t="s">
        <v>163</v>
      </c>
      <c r="H12" s="196">
        <f>'Rincian Biaya Perjadin'!I102</f>
        <v>2429270</v>
      </c>
      <c r="I12" s="186"/>
      <c r="J12" s="186"/>
      <c r="K12" s="147">
        <f>SUM(H12:J12)</f>
        <v>2429270</v>
      </c>
      <c r="L12" s="148">
        <f>'Rincian Biaya Perjadin'!I103</f>
        <v>1350928</v>
      </c>
      <c r="M12" s="147">
        <f>'Rincian Biaya Perjadin'!I101</f>
        <v>1060000</v>
      </c>
      <c r="N12" s="147"/>
      <c r="O12" s="147">
        <f>SUM(K12:N12)</f>
        <v>4840198</v>
      </c>
      <c r="P12" s="145"/>
      <c r="Q12" s="145"/>
    </row>
    <row r="13" spans="1:49" s="138" customFormat="1" ht="114.75" customHeight="1" x14ac:dyDescent="0.25">
      <c r="A13" s="143">
        <v>3</v>
      </c>
      <c r="B13" s="144" t="s">
        <v>171</v>
      </c>
      <c r="C13" s="193" t="s">
        <v>166</v>
      </c>
      <c r="D13" s="190" t="s">
        <v>153</v>
      </c>
      <c r="E13" s="145" t="s">
        <v>161</v>
      </c>
      <c r="F13" s="146" t="s">
        <v>162</v>
      </c>
      <c r="G13" s="145" t="s">
        <v>163</v>
      </c>
      <c r="H13" s="196">
        <f>'Rincian Biaya Perjadin (2)'!I12</f>
        <v>2529207</v>
      </c>
      <c r="I13" s="186"/>
      <c r="J13" s="186"/>
      <c r="K13" s="147">
        <f>SUM(H13:J13)</f>
        <v>2529207</v>
      </c>
      <c r="L13" s="148"/>
      <c r="M13" s="147">
        <f>'Rincian Biaya Perjadin (2)'!I11</f>
        <v>1060000</v>
      </c>
      <c r="N13" s="147"/>
      <c r="O13" s="147">
        <f>SUM(K13:N13)</f>
        <v>3589207</v>
      </c>
      <c r="P13" s="145"/>
      <c r="Q13" s="145"/>
      <c r="R13" s="138" t="s">
        <v>2</v>
      </c>
      <c r="W13" s="138" t="s">
        <v>2</v>
      </c>
    </row>
    <row r="14" spans="1:49" s="138" customFormat="1" ht="103.5" customHeight="1" x14ac:dyDescent="0.25">
      <c r="A14" s="143">
        <v>4</v>
      </c>
      <c r="B14" s="144" t="s">
        <v>172</v>
      </c>
      <c r="C14" s="193" t="s">
        <v>167</v>
      </c>
      <c r="D14" s="190" t="s">
        <v>168</v>
      </c>
      <c r="E14" s="145" t="s">
        <v>161</v>
      </c>
      <c r="F14" s="146" t="s">
        <v>162</v>
      </c>
      <c r="G14" s="145" t="s">
        <v>163</v>
      </c>
      <c r="H14" s="196">
        <f>'Rincian Biaya Perjadin (2)'!I102</f>
        <v>2529207</v>
      </c>
      <c r="I14" s="186">
        <f>'Rincian Biaya Perjadin (2)'!I104</f>
        <v>288000</v>
      </c>
      <c r="J14" s="186"/>
      <c r="K14" s="147">
        <f>SUM(H14:J14)</f>
        <v>2817207</v>
      </c>
      <c r="L14" s="148"/>
      <c r="M14" s="147">
        <f>'Rincian Biaya Perjadin (2)'!I101</f>
        <v>1060000</v>
      </c>
      <c r="N14" s="147"/>
      <c r="O14" s="147">
        <f>SUM(K14:N14)</f>
        <v>3877207</v>
      </c>
      <c r="P14" s="145"/>
      <c r="Q14" s="145"/>
    </row>
    <row r="15" spans="1:49" s="154" customFormat="1" ht="30" customHeight="1" x14ac:dyDescent="0.3">
      <c r="A15" s="291"/>
      <c r="B15" s="292"/>
      <c r="C15" s="292"/>
      <c r="D15" s="292"/>
      <c r="E15" s="292"/>
      <c r="F15" s="292"/>
      <c r="G15" s="292"/>
      <c r="H15" s="292"/>
      <c r="I15" s="292"/>
      <c r="J15" s="292"/>
      <c r="K15" s="149">
        <f>SUM(K11:K14)</f>
        <v>10525891</v>
      </c>
      <c r="L15" s="149">
        <f>SUM(L11:L14)</f>
        <v>2701856</v>
      </c>
      <c r="M15" s="149">
        <f>SUM(M11:M14)</f>
        <v>4240000</v>
      </c>
      <c r="N15" s="149">
        <f>SUM(N11:N11)</f>
        <v>0</v>
      </c>
      <c r="O15" s="191">
        <f>SUM(O11:O14)</f>
        <v>17467747</v>
      </c>
      <c r="P15" s="150"/>
      <c r="Q15" s="150"/>
      <c r="R15" s="151"/>
      <c r="S15" s="152"/>
      <c r="T15" s="153"/>
      <c r="U15" s="153"/>
      <c r="V15" s="153"/>
    </row>
    <row r="16" spans="1:49" s="154" customFormat="1" ht="30" customHeight="1" x14ac:dyDescent="0.3">
      <c r="A16" s="291" t="s">
        <v>107</v>
      </c>
      <c r="B16" s="292"/>
      <c r="C16" s="254"/>
      <c r="D16" s="155"/>
      <c r="E16" s="254"/>
      <c r="F16" s="294" t="str">
        <f>[1]!terbilang(O15)&amp;" Rupiah"</f>
        <v>Tujuh belas juta empat ratus enam puluh tujuh ribu tujuh ratus empat puluh tujuh Rupiah</v>
      </c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5"/>
    </row>
    <row r="18" spans="2:20" x14ac:dyDescent="0.3">
      <c r="D18" s="136" t="s">
        <v>5</v>
      </c>
    </row>
    <row r="19" spans="2:20" s="316" customFormat="1" ht="23.25" x14ac:dyDescent="0.35">
      <c r="B19" s="317" t="s">
        <v>108</v>
      </c>
      <c r="C19" s="317"/>
      <c r="D19" s="317"/>
      <c r="E19" s="318" t="s">
        <v>2</v>
      </c>
      <c r="F19" s="316" t="s">
        <v>2</v>
      </c>
      <c r="M19" s="319"/>
      <c r="N19" s="317" t="s">
        <v>206</v>
      </c>
      <c r="O19" s="317"/>
      <c r="T19" s="317"/>
    </row>
    <row r="20" spans="2:20" s="316" customFormat="1" ht="23.25" x14ac:dyDescent="0.35">
      <c r="B20" s="316" t="s">
        <v>84</v>
      </c>
      <c r="C20" s="317"/>
      <c r="D20" s="317" t="s">
        <v>5</v>
      </c>
      <c r="E20" s="318"/>
      <c r="F20" s="316" t="s">
        <v>109</v>
      </c>
      <c r="M20" s="319"/>
    </row>
    <row r="21" spans="2:20" s="316" customFormat="1" ht="23.25" x14ac:dyDescent="0.35">
      <c r="C21" s="317"/>
      <c r="D21" s="317" t="s">
        <v>5</v>
      </c>
      <c r="E21" s="318" t="s">
        <v>2</v>
      </c>
      <c r="M21" s="319"/>
    </row>
    <row r="22" spans="2:20" s="316" customFormat="1" ht="23.25" x14ac:dyDescent="0.35">
      <c r="C22" s="317"/>
      <c r="D22" s="317"/>
      <c r="E22" s="318"/>
      <c r="G22" s="316" t="s">
        <v>2</v>
      </c>
      <c r="M22" s="319" t="s">
        <v>2</v>
      </c>
    </row>
    <row r="23" spans="2:20" s="316" customFormat="1" ht="23.25" x14ac:dyDescent="0.35">
      <c r="C23" s="317"/>
      <c r="D23" s="317"/>
      <c r="E23" s="320"/>
      <c r="M23" s="319"/>
    </row>
    <row r="24" spans="2:20" s="316" customFormat="1" ht="23.25" x14ac:dyDescent="0.35">
      <c r="C24" s="317"/>
      <c r="D24" s="317"/>
      <c r="E24" s="318" t="s">
        <v>2</v>
      </c>
      <c r="M24" s="321"/>
    </row>
    <row r="25" spans="2:20" s="316" customFormat="1" ht="23.25" x14ac:dyDescent="0.35">
      <c r="B25" s="316" t="s">
        <v>63</v>
      </c>
      <c r="C25" s="317"/>
      <c r="D25" s="317"/>
      <c r="E25" s="318"/>
      <c r="N25" s="316" t="s">
        <v>156</v>
      </c>
    </row>
    <row r="26" spans="2:20" s="154" customFormat="1" x14ac:dyDescent="0.3">
      <c r="B26" s="156" t="s">
        <v>64</v>
      </c>
      <c r="C26" s="156"/>
      <c r="D26" s="156"/>
      <c r="E26" s="157"/>
      <c r="N26" s="156" t="s">
        <v>173</v>
      </c>
      <c r="O26" s="156"/>
      <c r="T26" s="156"/>
    </row>
    <row r="27" spans="2:20" s="154" customFormat="1" x14ac:dyDescent="0.3">
      <c r="B27" s="158"/>
      <c r="C27" s="158"/>
      <c r="D27" s="158"/>
      <c r="E27" s="159"/>
      <c r="F27" s="159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1"/>
      <c r="S27" s="161"/>
      <c r="T27" s="160"/>
    </row>
    <row r="28" spans="2:20" s="154" customFormat="1" x14ac:dyDescent="0.3"/>
  </sheetData>
  <mergeCells count="17">
    <mergeCell ref="Q8:Q9"/>
    <mergeCell ref="O1:P1"/>
    <mergeCell ref="A15:J15"/>
    <mergeCell ref="O2:Q2"/>
    <mergeCell ref="A6:Q6"/>
    <mergeCell ref="A16:B16"/>
    <mergeCell ref="F16:Q16"/>
    <mergeCell ref="A5:Q5"/>
    <mergeCell ref="A8:A9"/>
    <mergeCell ref="B8:B9"/>
    <mergeCell ref="C8:C9"/>
    <mergeCell ref="D8:D9"/>
    <mergeCell ref="E8:E9"/>
    <mergeCell ref="F8:F9"/>
    <mergeCell ref="G8:G9"/>
    <mergeCell ref="K8:O8"/>
    <mergeCell ref="P8:P9"/>
  </mergeCells>
  <printOptions horizontalCentered="1"/>
  <pageMargins left="0.15748031496062992" right="0" top="0.94488188976377963" bottom="0.74803149606299213" header="0.31496062992125984" footer="0.31496062992125984"/>
  <pageSetup paperSize="9" scale="5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47"/>
  <sheetViews>
    <sheetView view="pageBreakPreview" zoomScale="77" zoomScaleNormal="100" zoomScaleSheetLayoutView="77" workbookViewId="0">
      <selection activeCell="J34" sqref="J34"/>
    </sheetView>
  </sheetViews>
  <sheetFormatPr defaultRowHeight="15" x14ac:dyDescent="0.2"/>
  <cols>
    <col min="1" max="1" width="3.28515625" style="169" customWidth="1"/>
    <col min="2" max="2" width="11.7109375" style="169" customWidth="1"/>
    <col min="3" max="3" width="10.28515625" style="169" customWidth="1"/>
    <col min="4" max="4" width="17.5703125" style="169" customWidth="1"/>
    <col min="5" max="5" width="15.5703125" style="169" customWidth="1"/>
    <col min="6" max="6" width="21" style="169" customWidth="1"/>
    <col min="7" max="7" width="13.5703125" style="169" customWidth="1"/>
    <col min="8" max="8" width="46.5703125" style="169" customWidth="1"/>
    <col min="9" max="255" width="9.140625" style="169"/>
    <col min="256" max="256" width="3.28515625" style="169" customWidth="1"/>
    <col min="257" max="257" width="11.42578125" style="169" customWidth="1"/>
    <col min="258" max="258" width="4.28515625" style="169" customWidth="1"/>
    <col min="259" max="259" width="16.85546875" style="169" customWidth="1"/>
    <col min="260" max="260" width="15.5703125" style="169" customWidth="1"/>
    <col min="261" max="261" width="1.7109375" style="169" customWidth="1"/>
    <col min="262" max="262" width="29.140625" style="169" customWidth="1"/>
    <col min="263" max="263" width="4.5703125" style="169" customWidth="1"/>
    <col min="264" max="264" width="26.5703125" style="169" customWidth="1"/>
    <col min="265" max="511" width="9.140625" style="169"/>
    <col min="512" max="512" width="3.28515625" style="169" customWidth="1"/>
    <col min="513" max="513" width="11.42578125" style="169" customWidth="1"/>
    <col min="514" max="514" width="4.28515625" style="169" customWidth="1"/>
    <col min="515" max="515" width="16.85546875" style="169" customWidth="1"/>
    <col min="516" max="516" width="15.5703125" style="169" customWidth="1"/>
    <col min="517" max="517" width="1.7109375" style="169" customWidth="1"/>
    <col min="518" max="518" width="29.140625" style="169" customWidth="1"/>
    <col min="519" max="519" width="4.5703125" style="169" customWidth="1"/>
    <col min="520" max="520" width="26.5703125" style="169" customWidth="1"/>
    <col min="521" max="767" width="9.140625" style="169"/>
    <col min="768" max="768" width="3.28515625" style="169" customWidth="1"/>
    <col min="769" max="769" width="11.42578125" style="169" customWidth="1"/>
    <col min="770" max="770" width="4.28515625" style="169" customWidth="1"/>
    <col min="771" max="771" width="16.85546875" style="169" customWidth="1"/>
    <col min="772" max="772" width="15.5703125" style="169" customWidth="1"/>
    <col min="773" max="773" width="1.7109375" style="169" customWidth="1"/>
    <col min="774" max="774" width="29.140625" style="169" customWidth="1"/>
    <col min="775" max="775" width="4.5703125" style="169" customWidth="1"/>
    <col min="776" max="776" width="26.5703125" style="169" customWidth="1"/>
    <col min="777" max="1023" width="9.140625" style="169"/>
    <col min="1024" max="1024" width="3.28515625" style="169" customWidth="1"/>
    <col min="1025" max="1025" width="11.42578125" style="169" customWidth="1"/>
    <col min="1026" max="1026" width="4.28515625" style="169" customWidth="1"/>
    <col min="1027" max="1027" width="16.85546875" style="169" customWidth="1"/>
    <col min="1028" max="1028" width="15.5703125" style="169" customWidth="1"/>
    <col min="1029" max="1029" width="1.7109375" style="169" customWidth="1"/>
    <col min="1030" max="1030" width="29.140625" style="169" customWidth="1"/>
    <col min="1031" max="1031" width="4.5703125" style="169" customWidth="1"/>
    <col min="1032" max="1032" width="26.5703125" style="169" customWidth="1"/>
    <col min="1033" max="1279" width="9.140625" style="169"/>
    <col min="1280" max="1280" width="3.28515625" style="169" customWidth="1"/>
    <col min="1281" max="1281" width="11.42578125" style="169" customWidth="1"/>
    <col min="1282" max="1282" width="4.28515625" style="169" customWidth="1"/>
    <col min="1283" max="1283" width="16.85546875" style="169" customWidth="1"/>
    <col min="1284" max="1284" width="15.5703125" style="169" customWidth="1"/>
    <col min="1285" max="1285" width="1.7109375" style="169" customWidth="1"/>
    <col min="1286" max="1286" width="29.140625" style="169" customWidth="1"/>
    <col min="1287" max="1287" width="4.5703125" style="169" customWidth="1"/>
    <col min="1288" max="1288" width="26.5703125" style="169" customWidth="1"/>
    <col min="1289" max="1535" width="9.140625" style="169"/>
    <col min="1536" max="1536" width="3.28515625" style="169" customWidth="1"/>
    <col min="1537" max="1537" width="11.42578125" style="169" customWidth="1"/>
    <col min="1538" max="1538" width="4.28515625" style="169" customWidth="1"/>
    <col min="1539" max="1539" width="16.85546875" style="169" customWidth="1"/>
    <col min="1540" max="1540" width="15.5703125" style="169" customWidth="1"/>
    <col min="1541" max="1541" width="1.7109375" style="169" customWidth="1"/>
    <col min="1542" max="1542" width="29.140625" style="169" customWidth="1"/>
    <col min="1543" max="1543" width="4.5703125" style="169" customWidth="1"/>
    <col min="1544" max="1544" width="26.5703125" style="169" customWidth="1"/>
    <col min="1545" max="1791" width="9.140625" style="169"/>
    <col min="1792" max="1792" width="3.28515625" style="169" customWidth="1"/>
    <col min="1793" max="1793" width="11.42578125" style="169" customWidth="1"/>
    <col min="1794" max="1794" width="4.28515625" style="169" customWidth="1"/>
    <col min="1795" max="1795" width="16.85546875" style="169" customWidth="1"/>
    <col min="1796" max="1796" width="15.5703125" style="169" customWidth="1"/>
    <col min="1797" max="1797" width="1.7109375" style="169" customWidth="1"/>
    <col min="1798" max="1798" width="29.140625" style="169" customWidth="1"/>
    <col min="1799" max="1799" width="4.5703125" style="169" customWidth="1"/>
    <col min="1800" max="1800" width="26.5703125" style="169" customWidth="1"/>
    <col min="1801" max="2047" width="9.140625" style="169"/>
    <col min="2048" max="2048" width="3.28515625" style="169" customWidth="1"/>
    <col min="2049" max="2049" width="11.42578125" style="169" customWidth="1"/>
    <col min="2050" max="2050" width="4.28515625" style="169" customWidth="1"/>
    <col min="2051" max="2051" width="16.85546875" style="169" customWidth="1"/>
    <col min="2052" max="2052" width="15.5703125" style="169" customWidth="1"/>
    <col min="2053" max="2053" width="1.7109375" style="169" customWidth="1"/>
    <col min="2054" max="2054" width="29.140625" style="169" customWidth="1"/>
    <col min="2055" max="2055" width="4.5703125" style="169" customWidth="1"/>
    <col min="2056" max="2056" width="26.5703125" style="169" customWidth="1"/>
    <col min="2057" max="2303" width="9.140625" style="169"/>
    <col min="2304" max="2304" width="3.28515625" style="169" customWidth="1"/>
    <col min="2305" max="2305" width="11.42578125" style="169" customWidth="1"/>
    <col min="2306" max="2306" width="4.28515625" style="169" customWidth="1"/>
    <col min="2307" max="2307" width="16.85546875" style="169" customWidth="1"/>
    <col min="2308" max="2308" width="15.5703125" style="169" customWidth="1"/>
    <col min="2309" max="2309" width="1.7109375" style="169" customWidth="1"/>
    <col min="2310" max="2310" width="29.140625" style="169" customWidth="1"/>
    <col min="2311" max="2311" width="4.5703125" style="169" customWidth="1"/>
    <col min="2312" max="2312" width="26.5703125" style="169" customWidth="1"/>
    <col min="2313" max="2559" width="9.140625" style="169"/>
    <col min="2560" max="2560" width="3.28515625" style="169" customWidth="1"/>
    <col min="2561" max="2561" width="11.42578125" style="169" customWidth="1"/>
    <col min="2562" max="2562" width="4.28515625" style="169" customWidth="1"/>
    <col min="2563" max="2563" width="16.85546875" style="169" customWidth="1"/>
    <col min="2564" max="2564" width="15.5703125" style="169" customWidth="1"/>
    <col min="2565" max="2565" width="1.7109375" style="169" customWidth="1"/>
    <col min="2566" max="2566" width="29.140625" style="169" customWidth="1"/>
    <col min="2567" max="2567" width="4.5703125" style="169" customWidth="1"/>
    <col min="2568" max="2568" width="26.5703125" style="169" customWidth="1"/>
    <col min="2569" max="2815" width="9.140625" style="169"/>
    <col min="2816" max="2816" width="3.28515625" style="169" customWidth="1"/>
    <col min="2817" max="2817" width="11.42578125" style="169" customWidth="1"/>
    <col min="2818" max="2818" width="4.28515625" style="169" customWidth="1"/>
    <col min="2819" max="2819" width="16.85546875" style="169" customWidth="1"/>
    <col min="2820" max="2820" width="15.5703125" style="169" customWidth="1"/>
    <col min="2821" max="2821" width="1.7109375" style="169" customWidth="1"/>
    <col min="2822" max="2822" width="29.140625" style="169" customWidth="1"/>
    <col min="2823" max="2823" width="4.5703125" style="169" customWidth="1"/>
    <col min="2824" max="2824" width="26.5703125" style="169" customWidth="1"/>
    <col min="2825" max="3071" width="9.140625" style="169"/>
    <col min="3072" max="3072" width="3.28515625" style="169" customWidth="1"/>
    <col min="3073" max="3073" width="11.42578125" style="169" customWidth="1"/>
    <col min="3074" max="3074" width="4.28515625" style="169" customWidth="1"/>
    <col min="3075" max="3075" width="16.85546875" style="169" customWidth="1"/>
    <col min="3076" max="3076" width="15.5703125" style="169" customWidth="1"/>
    <col min="3077" max="3077" width="1.7109375" style="169" customWidth="1"/>
    <col min="3078" max="3078" width="29.140625" style="169" customWidth="1"/>
    <col min="3079" max="3079" width="4.5703125" style="169" customWidth="1"/>
    <col min="3080" max="3080" width="26.5703125" style="169" customWidth="1"/>
    <col min="3081" max="3327" width="9.140625" style="169"/>
    <col min="3328" max="3328" width="3.28515625" style="169" customWidth="1"/>
    <col min="3329" max="3329" width="11.42578125" style="169" customWidth="1"/>
    <col min="3330" max="3330" width="4.28515625" style="169" customWidth="1"/>
    <col min="3331" max="3331" width="16.85546875" style="169" customWidth="1"/>
    <col min="3332" max="3332" width="15.5703125" style="169" customWidth="1"/>
    <col min="3333" max="3333" width="1.7109375" style="169" customWidth="1"/>
    <col min="3334" max="3334" width="29.140625" style="169" customWidth="1"/>
    <col min="3335" max="3335" width="4.5703125" style="169" customWidth="1"/>
    <col min="3336" max="3336" width="26.5703125" style="169" customWidth="1"/>
    <col min="3337" max="3583" width="9.140625" style="169"/>
    <col min="3584" max="3584" width="3.28515625" style="169" customWidth="1"/>
    <col min="3585" max="3585" width="11.42578125" style="169" customWidth="1"/>
    <col min="3586" max="3586" width="4.28515625" style="169" customWidth="1"/>
    <col min="3587" max="3587" width="16.85546875" style="169" customWidth="1"/>
    <col min="3588" max="3588" width="15.5703125" style="169" customWidth="1"/>
    <col min="3589" max="3589" width="1.7109375" style="169" customWidth="1"/>
    <col min="3590" max="3590" width="29.140625" style="169" customWidth="1"/>
    <col min="3591" max="3591" width="4.5703125" style="169" customWidth="1"/>
    <col min="3592" max="3592" width="26.5703125" style="169" customWidth="1"/>
    <col min="3593" max="3839" width="9.140625" style="169"/>
    <col min="3840" max="3840" width="3.28515625" style="169" customWidth="1"/>
    <col min="3841" max="3841" width="11.42578125" style="169" customWidth="1"/>
    <col min="3842" max="3842" width="4.28515625" style="169" customWidth="1"/>
    <col min="3843" max="3843" width="16.85546875" style="169" customWidth="1"/>
    <col min="3844" max="3844" width="15.5703125" style="169" customWidth="1"/>
    <col min="3845" max="3845" width="1.7109375" style="169" customWidth="1"/>
    <col min="3846" max="3846" width="29.140625" style="169" customWidth="1"/>
    <col min="3847" max="3847" width="4.5703125" style="169" customWidth="1"/>
    <col min="3848" max="3848" width="26.5703125" style="169" customWidth="1"/>
    <col min="3849" max="4095" width="9.140625" style="169"/>
    <col min="4096" max="4096" width="3.28515625" style="169" customWidth="1"/>
    <col min="4097" max="4097" width="11.42578125" style="169" customWidth="1"/>
    <col min="4098" max="4098" width="4.28515625" style="169" customWidth="1"/>
    <col min="4099" max="4099" width="16.85546875" style="169" customWidth="1"/>
    <col min="4100" max="4100" width="15.5703125" style="169" customWidth="1"/>
    <col min="4101" max="4101" width="1.7109375" style="169" customWidth="1"/>
    <col min="4102" max="4102" width="29.140625" style="169" customWidth="1"/>
    <col min="4103" max="4103" width="4.5703125" style="169" customWidth="1"/>
    <col min="4104" max="4104" width="26.5703125" style="169" customWidth="1"/>
    <col min="4105" max="4351" width="9.140625" style="169"/>
    <col min="4352" max="4352" width="3.28515625" style="169" customWidth="1"/>
    <col min="4353" max="4353" width="11.42578125" style="169" customWidth="1"/>
    <col min="4354" max="4354" width="4.28515625" style="169" customWidth="1"/>
    <col min="4355" max="4355" width="16.85546875" style="169" customWidth="1"/>
    <col min="4356" max="4356" width="15.5703125" style="169" customWidth="1"/>
    <col min="4357" max="4357" width="1.7109375" style="169" customWidth="1"/>
    <col min="4358" max="4358" width="29.140625" style="169" customWidth="1"/>
    <col min="4359" max="4359" width="4.5703125" style="169" customWidth="1"/>
    <col min="4360" max="4360" width="26.5703125" style="169" customWidth="1"/>
    <col min="4361" max="4607" width="9.140625" style="169"/>
    <col min="4608" max="4608" width="3.28515625" style="169" customWidth="1"/>
    <col min="4609" max="4609" width="11.42578125" style="169" customWidth="1"/>
    <col min="4610" max="4610" width="4.28515625" style="169" customWidth="1"/>
    <col min="4611" max="4611" width="16.85546875" style="169" customWidth="1"/>
    <col min="4612" max="4612" width="15.5703125" style="169" customWidth="1"/>
    <col min="4613" max="4613" width="1.7109375" style="169" customWidth="1"/>
    <col min="4614" max="4614" width="29.140625" style="169" customWidth="1"/>
    <col min="4615" max="4615" width="4.5703125" style="169" customWidth="1"/>
    <col min="4616" max="4616" width="26.5703125" style="169" customWidth="1"/>
    <col min="4617" max="4863" width="9.140625" style="169"/>
    <col min="4864" max="4864" width="3.28515625" style="169" customWidth="1"/>
    <col min="4865" max="4865" width="11.42578125" style="169" customWidth="1"/>
    <col min="4866" max="4866" width="4.28515625" style="169" customWidth="1"/>
    <col min="4867" max="4867" width="16.85546875" style="169" customWidth="1"/>
    <col min="4868" max="4868" width="15.5703125" style="169" customWidth="1"/>
    <col min="4869" max="4869" width="1.7109375" style="169" customWidth="1"/>
    <col min="4870" max="4870" width="29.140625" style="169" customWidth="1"/>
    <col min="4871" max="4871" width="4.5703125" style="169" customWidth="1"/>
    <col min="4872" max="4872" width="26.5703125" style="169" customWidth="1"/>
    <col min="4873" max="5119" width="9.140625" style="169"/>
    <col min="5120" max="5120" width="3.28515625" style="169" customWidth="1"/>
    <col min="5121" max="5121" width="11.42578125" style="169" customWidth="1"/>
    <col min="5122" max="5122" width="4.28515625" style="169" customWidth="1"/>
    <col min="5123" max="5123" width="16.85546875" style="169" customWidth="1"/>
    <col min="5124" max="5124" width="15.5703125" style="169" customWidth="1"/>
    <col min="5125" max="5125" width="1.7109375" style="169" customWidth="1"/>
    <col min="5126" max="5126" width="29.140625" style="169" customWidth="1"/>
    <col min="5127" max="5127" width="4.5703125" style="169" customWidth="1"/>
    <col min="5128" max="5128" width="26.5703125" style="169" customWidth="1"/>
    <col min="5129" max="5375" width="9.140625" style="169"/>
    <col min="5376" max="5376" width="3.28515625" style="169" customWidth="1"/>
    <col min="5377" max="5377" width="11.42578125" style="169" customWidth="1"/>
    <col min="5378" max="5378" width="4.28515625" style="169" customWidth="1"/>
    <col min="5379" max="5379" width="16.85546875" style="169" customWidth="1"/>
    <col min="5380" max="5380" width="15.5703125" style="169" customWidth="1"/>
    <col min="5381" max="5381" width="1.7109375" style="169" customWidth="1"/>
    <col min="5382" max="5382" width="29.140625" style="169" customWidth="1"/>
    <col min="5383" max="5383" width="4.5703125" style="169" customWidth="1"/>
    <col min="5384" max="5384" width="26.5703125" style="169" customWidth="1"/>
    <col min="5385" max="5631" width="9.140625" style="169"/>
    <col min="5632" max="5632" width="3.28515625" style="169" customWidth="1"/>
    <col min="5633" max="5633" width="11.42578125" style="169" customWidth="1"/>
    <col min="5634" max="5634" width="4.28515625" style="169" customWidth="1"/>
    <col min="5635" max="5635" width="16.85546875" style="169" customWidth="1"/>
    <col min="5636" max="5636" width="15.5703125" style="169" customWidth="1"/>
    <col min="5637" max="5637" width="1.7109375" style="169" customWidth="1"/>
    <col min="5638" max="5638" width="29.140625" style="169" customWidth="1"/>
    <col min="5639" max="5639" width="4.5703125" style="169" customWidth="1"/>
    <col min="5640" max="5640" width="26.5703125" style="169" customWidth="1"/>
    <col min="5641" max="5887" width="9.140625" style="169"/>
    <col min="5888" max="5888" width="3.28515625" style="169" customWidth="1"/>
    <col min="5889" max="5889" width="11.42578125" style="169" customWidth="1"/>
    <col min="5890" max="5890" width="4.28515625" style="169" customWidth="1"/>
    <col min="5891" max="5891" width="16.85546875" style="169" customWidth="1"/>
    <col min="5892" max="5892" width="15.5703125" style="169" customWidth="1"/>
    <col min="5893" max="5893" width="1.7109375" style="169" customWidth="1"/>
    <col min="5894" max="5894" width="29.140625" style="169" customWidth="1"/>
    <col min="5895" max="5895" width="4.5703125" style="169" customWidth="1"/>
    <col min="5896" max="5896" width="26.5703125" style="169" customWidth="1"/>
    <col min="5897" max="6143" width="9.140625" style="169"/>
    <col min="6144" max="6144" width="3.28515625" style="169" customWidth="1"/>
    <col min="6145" max="6145" width="11.42578125" style="169" customWidth="1"/>
    <col min="6146" max="6146" width="4.28515625" style="169" customWidth="1"/>
    <col min="6147" max="6147" width="16.85546875" style="169" customWidth="1"/>
    <col min="6148" max="6148" width="15.5703125" style="169" customWidth="1"/>
    <col min="6149" max="6149" width="1.7109375" style="169" customWidth="1"/>
    <col min="6150" max="6150" width="29.140625" style="169" customWidth="1"/>
    <col min="6151" max="6151" width="4.5703125" style="169" customWidth="1"/>
    <col min="6152" max="6152" width="26.5703125" style="169" customWidth="1"/>
    <col min="6153" max="6399" width="9.140625" style="169"/>
    <col min="6400" max="6400" width="3.28515625" style="169" customWidth="1"/>
    <col min="6401" max="6401" width="11.42578125" style="169" customWidth="1"/>
    <col min="6402" max="6402" width="4.28515625" style="169" customWidth="1"/>
    <col min="6403" max="6403" width="16.85546875" style="169" customWidth="1"/>
    <col min="6404" max="6404" width="15.5703125" style="169" customWidth="1"/>
    <col min="6405" max="6405" width="1.7109375" style="169" customWidth="1"/>
    <col min="6406" max="6406" width="29.140625" style="169" customWidth="1"/>
    <col min="6407" max="6407" width="4.5703125" style="169" customWidth="1"/>
    <col min="6408" max="6408" width="26.5703125" style="169" customWidth="1"/>
    <col min="6409" max="6655" width="9.140625" style="169"/>
    <col min="6656" max="6656" width="3.28515625" style="169" customWidth="1"/>
    <col min="6657" max="6657" width="11.42578125" style="169" customWidth="1"/>
    <col min="6658" max="6658" width="4.28515625" style="169" customWidth="1"/>
    <col min="6659" max="6659" width="16.85546875" style="169" customWidth="1"/>
    <col min="6660" max="6660" width="15.5703125" style="169" customWidth="1"/>
    <col min="6661" max="6661" width="1.7109375" style="169" customWidth="1"/>
    <col min="6662" max="6662" width="29.140625" style="169" customWidth="1"/>
    <col min="6663" max="6663" width="4.5703125" style="169" customWidth="1"/>
    <col min="6664" max="6664" width="26.5703125" style="169" customWidth="1"/>
    <col min="6665" max="6911" width="9.140625" style="169"/>
    <col min="6912" max="6912" width="3.28515625" style="169" customWidth="1"/>
    <col min="6913" max="6913" width="11.42578125" style="169" customWidth="1"/>
    <col min="6914" max="6914" width="4.28515625" style="169" customWidth="1"/>
    <col min="6915" max="6915" width="16.85546875" style="169" customWidth="1"/>
    <col min="6916" max="6916" width="15.5703125" style="169" customWidth="1"/>
    <col min="6917" max="6917" width="1.7109375" style="169" customWidth="1"/>
    <col min="6918" max="6918" width="29.140625" style="169" customWidth="1"/>
    <col min="6919" max="6919" width="4.5703125" style="169" customWidth="1"/>
    <col min="6920" max="6920" width="26.5703125" style="169" customWidth="1"/>
    <col min="6921" max="7167" width="9.140625" style="169"/>
    <col min="7168" max="7168" width="3.28515625" style="169" customWidth="1"/>
    <col min="7169" max="7169" width="11.42578125" style="169" customWidth="1"/>
    <col min="7170" max="7170" width="4.28515625" style="169" customWidth="1"/>
    <col min="7171" max="7171" width="16.85546875" style="169" customWidth="1"/>
    <col min="7172" max="7172" width="15.5703125" style="169" customWidth="1"/>
    <col min="7173" max="7173" width="1.7109375" style="169" customWidth="1"/>
    <col min="7174" max="7174" width="29.140625" style="169" customWidth="1"/>
    <col min="7175" max="7175" width="4.5703125" style="169" customWidth="1"/>
    <col min="7176" max="7176" width="26.5703125" style="169" customWidth="1"/>
    <col min="7177" max="7423" width="9.140625" style="169"/>
    <col min="7424" max="7424" width="3.28515625" style="169" customWidth="1"/>
    <col min="7425" max="7425" width="11.42578125" style="169" customWidth="1"/>
    <col min="7426" max="7426" width="4.28515625" style="169" customWidth="1"/>
    <col min="7427" max="7427" width="16.85546875" style="169" customWidth="1"/>
    <col min="7428" max="7428" width="15.5703125" style="169" customWidth="1"/>
    <col min="7429" max="7429" width="1.7109375" style="169" customWidth="1"/>
    <col min="7430" max="7430" width="29.140625" style="169" customWidth="1"/>
    <col min="7431" max="7431" width="4.5703125" style="169" customWidth="1"/>
    <col min="7432" max="7432" width="26.5703125" style="169" customWidth="1"/>
    <col min="7433" max="7679" width="9.140625" style="169"/>
    <col min="7680" max="7680" width="3.28515625" style="169" customWidth="1"/>
    <col min="7681" max="7681" width="11.42578125" style="169" customWidth="1"/>
    <col min="7682" max="7682" width="4.28515625" style="169" customWidth="1"/>
    <col min="7683" max="7683" width="16.85546875" style="169" customWidth="1"/>
    <col min="7684" max="7684" width="15.5703125" style="169" customWidth="1"/>
    <col min="7685" max="7685" width="1.7109375" style="169" customWidth="1"/>
    <col min="7686" max="7686" width="29.140625" style="169" customWidth="1"/>
    <col min="7687" max="7687" width="4.5703125" style="169" customWidth="1"/>
    <col min="7688" max="7688" width="26.5703125" style="169" customWidth="1"/>
    <col min="7689" max="7935" width="9.140625" style="169"/>
    <col min="7936" max="7936" width="3.28515625" style="169" customWidth="1"/>
    <col min="7937" max="7937" width="11.42578125" style="169" customWidth="1"/>
    <col min="7938" max="7938" width="4.28515625" style="169" customWidth="1"/>
    <col min="7939" max="7939" width="16.85546875" style="169" customWidth="1"/>
    <col min="7940" max="7940" width="15.5703125" style="169" customWidth="1"/>
    <col min="7941" max="7941" width="1.7109375" style="169" customWidth="1"/>
    <col min="7942" max="7942" width="29.140625" style="169" customWidth="1"/>
    <col min="7943" max="7943" width="4.5703125" style="169" customWidth="1"/>
    <col min="7944" max="7944" width="26.5703125" style="169" customWidth="1"/>
    <col min="7945" max="8191" width="9.140625" style="169"/>
    <col min="8192" max="8192" width="3.28515625" style="169" customWidth="1"/>
    <col min="8193" max="8193" width="11.42578125" style="169" customWidth="1"/>
    <col min="8194" max="8194" width="4.28515625" style="169" customWidth="1"/>
    <col min="8195" max="8195" width="16.85546875" style="169" customWidth="1"/>
    <col min="8196" max="8196" width="15.5703125" style="169" customWidth="1"/>
    <col min="8197" max="8197" width="1.7109375" style="169" customWidth="1"/>
    <col min="8198" max="8198" width="29.140625" style="169" customWidth="1"/>
    <col min="8199" max="8199" width="4.5703125" style="169" customWidth="1"/>
    <col min="8200" max="8200" width="26.5703125" style="169" customWidth="1"/>
    <col min="8201" max="8447" width="9.140625" style="169"/>
    <col min="8448" max="8448" width="3.28515625" style="169" customWidth="1"/>
    <col min="8449" max="8449" width="11.42578125" style="169" customWidth="1"/>
    <col min="8450" max="8450" width="4.28515625" style="169" customWidth="1"/>
    <col min="8451" max="8451" width="16.85546875" style="169" customWidth="1"/>
    <col min="8452" max="8452" width="15.5703125" style="169" customWidth="1"/>
    <col min="8453" max="8453" width="1.7109375" style="169" customWidth="1"/>
    <col min="8454" max="8454" width="29.140625" style="169" customWidth="1"/>
    <col min="8455" max="8455" width="4.5703125" style="169" customWidth="1"/>
    <col min="8456" max="8456" width="26.5703125" style="169" customWidth="1"/>
    <col min="8457" max="8703" width="9.140625" style="169"/>
    <col min="8704" max="8704" width="3.28515625" style="169" customWidth="1"/>
    <col min="8705" max="8705" width="11.42578125" style="169" customWidth="1"/>
    <col min="8706" max="8706" width="4.28515625" style="169" customWidth="1"/>
    <col min="8707" max="8707" width="16.85546875" style="169" customWidth="1"/>
    <col min="8708" max="8708" width="15.5703125" style="169" customWidth="1"/>
    <col min="8709" max="8709" width="1.7109375" style="169" customWidth="1"/>
    <col min="8710" max="8710" width="29.140625" style="169" customWidth="1"/>
    <col min="8711" max="8711" width="4.5703125" style="169" customWidth="1"/>
    <col min="8712" max="8712" width="26.5703125" style="169" customWidth="1"/>
    <col min="8713" max="8959" width="9.140625" style="169"/>
    <col min="8960" max="8960" width="3.28515625" style="169" customWidth="1"/>
    <col min="8961" max="8961" width="11.42578125" style="169" customWidth="1"/>
    <col min="8962" max="8962" width="4.28515625" style="169" customWidth="1"/>
    <col min="8963" max="8963" width="16.85546875" style="169" customWidth="1"/>
    <col min="8964" max="8964" width="15.5703125" style="169" customWidth="1"/>
    <col min="8965" max="8965" width="1.7109375" style="169" customWidth="1"/>
    <col min="8966" max="8966" width="29.140625" style="169" customWidth="1"/>
    <col min="8967" max="8967" width="4.5703125" style="169" customWidth="1"/>
    <col min="8968" max="8968" width="26.5703125" style="169" customWidth="1"/>
    <col min="8969" max="9215" width="9.140625" style="169"/>
    <col min="9216" max="9216" width="3.28515625" style="169" customWidth="1"/>
    <col min="9217" max="9217" width="11.42578125" style="169" customWidth="1"/>
    <col min="9218" max="9218" width="4.28515625" style="169" customWidth="1"/>
    <col min="9219" max="9219" width="16.85546875" style="169" customWidth="1"/>
    <col min="9220" max="9220" width="15.5703125" style="169" customWidth="1"/>
    <col min="9221" max="9221" width="1.7109375" style="169" customWidth="1"/>
    <col min="9222" max="9222" width="29.140625" style="169" customWidth="1"/>
    <col min="9223" max="9223" width="4.5703125" style="169" customWidth="1"/>
    <col min="9224" max="9224" width="26.5703125" style="169" customWidth="1"/>
    <col min="9225" max="9471" width="9.140625" style="169"/>
    <col min="9472" max="9472" width="3.28515625" style="169" customWidth="1"/>
    <col min="9473" max="9473" width="11.42578125" style="169" customWidth="1"/>
    <col min="9474" max="9474" width="4.28515625" style="169" customWidth="1"/>
    <col min="9475" max="9475" width="16.85546875" style="169" customWidth="1"/>
    <col min="9476" max="9476" width="15.5703125" style="169" customWidth="1"/>
    <col min="9477" max="9477" width="1.7109375" style="169" customWidth="1"/>
    <col min="9478" max="9478" width="29.140625" style="169" customWidth="1"/>
    <col min="9479" max="9479" width="4.5703125" style="169" customWidth="1"/>
    <col min="9480" max="9480" width="26.5703125" style="169" customWidth="1"/>
    <col min="9481" max="9727" width="9.140625" style="169"/>
    <col min="9728" max="9728" width="3.28515625" style="169" customWidth="1"/>
    <col min="9729" max="9729" width="11.42578125" style="169" customWidth="1"/>
    <col min="9730" max="9730" width="4.28515625" style="169" customWidth="1"/>
    <col min="9731" max="9731" width="16.85546875" style="169" customWidth="1"/>
    <col min="9732" max="9732" width="15.5703125" style="169" customWidth="1"/>
    <col min="9733" max="9733" width="1.7109375" style="169" customWidth="1"/>
    <col min="9734" max="9734" width="29.140625" style="169" customWidth="1"/>
    <col min="9735" max="9735" width="4.5703125" style="169" customWidth="1"/>
    <col min="9736" max="9736" width="26.5703125" style="169" customWidth="1"/>
    <col min="9737" max="9983" width="9.140625" style="169"/>
    <col min="9984" max="9984" width="3.28515625" style="169" customWidth="1"/>
    <col min="9985" max="9985" width="11.42578125" style="169" customWidth="1"/>
    <col min="9986" max="9986" width="4.28515625" style="169" customWidth="1"/>
    <col min="9987" max="9987" width="16.85546875" style="169" customWidth="1"/>
    <col min="9988" max="9988" width="15.5703125" style="169" customWidth="1"/>
    <col min="9989" max="9989" width="1.7109375" style="169" customWidth="1"/>
    <col min="9990" max="9990" width="29.140625" style="169" customWidth="1"/>
    <col min="9991" max="9991" width="4.5703125" style="169" customWidth="1"/>
    <col min="9992" max="9992" width="26.5703125" style="169" customWidth="1"/>
    <col min="9993" max="10239" width="9.140625" style="169"/>
    <col min="10240" max="10240" width="3.28515625" style="169" customWidth="1"/>
    <col min="10241" max="10241" width="11.42578125" style="169" customWidth="1"/>
    <col min="10242" max="10242" width="4.28515625" style="169" customWidth="1"/>
    <col min="10243" max="10243" width="16.85546875" style="169" customWidth="1"/>
    <col min="10244" max="10244" width="15.5703125" style="169" customWidth="1"/>
    <col min="10245" max="10245" width="1.7109375" style="169" customWidth="1"/>
    <col min="10246" max="10246" width="29.140625" style="169" customWidth="1"/>
    <col min="10247" max="10247" width="4.5703125" style="169" customWidth="1"/>
    <col min="10248" max="10248" width="26.5703125" style="169" customWidth="1"/>
    <col min="10249" max="10495" width="9.140625" style="169"/>
    <col min="10496" max="10496" width="3.28515625" style="169" customWidth="1"/>
    <col min="10497" max="10497" width="11.42578125" style="169" customWidth="1"/>
    <col min="10498" max="10498" width="4.28515625" style="169" customWidth="1"/>
    <col min="10499" max="10499" width="16.85546875" style="169" customWidth="1"/>
    <col min="10500" max="10500" width="15.5703125" style="169" customWidth="1"/>
    <col min="10501" max="10501" width="1.7109375" style="169" customWidth="1"/>
    <col min="10502" max="10502" width="29.140625" style="169" customWidth="1"/>
    <col min="10503" max="10503" width="4.5703125" style="169" customWidth="1"/>
    <col min="10504" max="10504" width="26.5703125" style="169" customWidth="1"/>
    <col min="10505" max="10751" width="9.140625" style="169"/>
    <col min="10752" max="10752" width="3.28515625" style="169" customWidth="1"/>
    <col min="10753" max="10753" width="11.42578125" style="169" customWidth="1"/>
    <col min="10754" max="10754" width="4.28515625" style="169" customWidth="1"/>
    <col min="10755" max="10755" width="16.85546875" style="169" customWidth="1"/>
    <col min="10756" max="10756" width="15.5703125" style="169" customWidth="1"/>
    <col min="10757" max="10757" width="1.7109375" style="169" customWidth="1"/>
    <col min="10758" max="10758" width="29.140625" style="169" customWidth="1"/>
    <col min="10759" max="10759" width="4.5703125" style="169" customWidth="1"/>
    <col min="10760" max="10760" width="26.5703125" style="169" customWidth="1"/>
    <col min="10761" max="11007" width="9.140625" style="169"/>
    <col min="11008" max="11008" width="3.28515625" style="169" customWidth="1"/>
    <col min="11009" max="11009" width="11.42578125" style="169" customWidth="1"/>
    <col min="11010" max="11010" width="4.28515625" style="169" customWidth="1"/>
    <col min="11011" max="11011" width="16.85546875" style="169" customWidth="1"/>
    <col min="11012" max="11012" width="15.5703125" style="169" customWidth="1"/>
    <col min="11013" max="11013" width="1.7109375" style="169" customWidth="1"/>
    <col min="11014" max="11014" width="29.140625" style="169" customWidth="1"/>
    <col min="11015" max="11015" width="4.5703125" style="169" customWidth="1"/>
    <col min="11016" max="11016" width="26.5703125" style="169" customWidth="1"/>
    <col min="11017" max="11263" width="9.140625" style="169"/>
    <col min="11264" max="11264" width="3.28515625" style="169" customWidth="1"/>
    <col min="11265" max="11265" width="11.42578125" style="169" customWidth="1"/>
    <col min="11266" max="11266" width="4.28515625" style="169" customWidth="1"/>
    <col min="11267" max="11267" width="16.85546875" style="169" customWidth="1"/>
    <col min="11268" max="11268" width="15.5703125" style="169" customWidth="1"/>
    <col min="11269" max="11269" width="1.7109375" style="169" customWidth="1"/>
    <col min="11270" max="11270" width="29.140625" style="169" customWidth="1"/>
    <col min="11271" max="11271" width="4.5703125" style="169" customWidth="1"/>
    <col min="11272" max="11272" width="26.5703125" style="169" customWidth="1"/>
    <col min="11273" max="11519" width="9.140625" style="169"/>
    <col min="11520" max="11520" width="3.28515625" style="169" customWidth="1"/>
    <col min="11521" max="11521" width="11.42578125" style="169" customWidth="1"/>
    <col min="11522" max="11522" width="4.28515625" style="169" customWidth="1"/>
    <col min="11523" max="11523" width="16.85546875" style="169" customWidth="1"/>
    <col min="11524" max="11524" width="15.5703125" style="169" customWidth="1"/>
    <col min="11525" max="11525" width="1.7109375" style="169" customWidth="1"/>
    <col min="11526" max="11526" width="29.140625" style="169" customWidth="1"/>
    <col min="11527" max="11527" width="4.5703125" style="169" customWidth="1"/>
    <col min="11528" max="11528" width="26.5703125" style="169" customWidth="1"/>
    <col min="11529" max="11775" width="9.140625" style="169"/>
    <col min="11776" max="11776" width="3.28515625" style="169" customWidth="1"/>
    <col min="11777" max="11777" width="11.42578125" style="169" customWidth="1"/>
    <col min="11778" max="11778" width="4.28515625" style="169" customWidth="1"/>
    <col min="11779" max="11779" width="16.85546875" style="169" customWidth="1"/>
    <col min="11780" max="11780" width="15.5703125" style="169" customWidth="1"/>
    <col min="11781" max="11781" width="1.7109375" style="169" customWidth="1"/>
    <col min="11782" max="11782" width="29.140625" style="169" customWidth="1"/>
    <col min="11783" max="11783" width="4.5703125" style="169" customWidth="1"/>
    <col min="11784" max="11784" width="26.5703125" style="169" customWidth="1"/>
    <col min="11785" max="12031" width="9.140625" style="169"/>
    <col min="12032" max="12032" width="3.28515625" style="169" customWidth="1"/>
    <col min="12033" max="12033" width="11.42578125" style="169" customWidth="1"/>
    <col min="12034" max="12034" width="4.28515625" style="169" customWidth="1"/>
    <col min="12035" max="12035" width="16.85546875" style="169" customWidth="1"/>
    <col min="12036" max="12036" width="15.5703125" style="169" customWidth="1"/>
    <col min="12037" max="12037" width="1.7109375" style="169" customWidth="1"/>
    <col min="12038" max="12038" width="29.140625" style="169" customWidth="1"/>
    <col min="12039" max="12039" width="4.5703125" style="169" customWidth="1"/>
    <col min="12040" max="12040" width="26.5703125" style="169" customWidth="1"/>
    <col min="12041" max="12287" width="9.140625" style="169"/>
    <col min="12288" max="12288" width="3.28515625" style="169" customWidth="1"/>
    <col min="12289" max="12289" width="11.42578125" style="169" customWidth="1"/>
    <col min="12290" max="12290" width="4.28515625" style="169" customWidth="1"/>
    <col min="12291" max="12291" width="16.85546875" style="169" customWidth="1"/>
    <col min="12292" max="12292" width="15.5703125" style="169" customWidth="1"/>
    <col min="12293" max="12293" width="1.7109375" style="169" customWidth="1"/>
    <col min="12294" max="12294" width="29.140625" style="169" customWidth="1"/>
    <col min="12295" max="12295" width="4.5703125" style="169" customWidth="1"/>
    <col min="12296" max="12296" width="26.5703125" style="169" customWidth="1"/>
    <col min="12297" max="12543" width="9.140625" style="169"/>
    <col min="12544" max="12544" width="3.28515625" style="169" customWidth="1"/>
    <col min="12545" max="12545" width="11.42578125" style="169" customWidth="1"/>
    <col min="12546" max="12546" width="4.28515625" style="169" customWidth="1"/>
    <col min="12547" max="12547" width="16.85546875" style="169" customWidth="1"/>
    <col min="12548" max="12548" width="15.5703125" style="169" customWidth="1"/>
    <col min="12549" max="12549" width="1.7109375" style="169" customWidth="1"/>
    <col min="12550" max="12550" width="29.140625" style="169" customWidth="1"/>
    <col min="12551" max="12551" width="4.5703125" style="169" customWidth="1"/>
    <col min="12552" max="12552" width="26.5703125" style="169" customWidth="1"/>
    <col min="12553" max="12799" width="9.140625" style="169"/>
    <col min="12800" max="12800" width="3.28515625" style="169" customWidth="1"/>
    <col min="12801" max="12801" width="11.42578125" style="169" customWidth="1"/>
    <col min="12802" max="12802" width="4.28515625" style="169" customWidth="1"/>
    <col min="12803" max="12803" width="16.85546875" style="169" customWidth="1"/>
    <col min="12804" max="12804" width="15.5703125" style="169" customWidth="1"/>
    <col min="12805" max="12805" width="1.7109375" style="169" customWidth="1"/>
    <col min="12806" max="12806" width="29.140625" style="169" customWidth="1"/>
    <col min="12807" max="12807" width="4.5703125" style="169" customWidth="1"/>
    <col min="12808" max="12808" width="26.5703125" style="169" customWidth="1"/>
    <col min="12809" max="13055" width="9.140625" style="169"/>
    <col min="13056" max="13056" width="3.28515625" style="169" customWidth="1"/>
    <col min="13057" max="13057" width="11.42578125" style="169" customWidth="1"/>
    <col min="13058" max="13058" width="4.28515625" style="169" customWidth="1"/>
    <col min="13059" max="13059" width="16.85546875" style="169" customWidth="1"/>
    <col min="13060" max="13060" width="15.5703125" style="169" customWidth="1"/>
    <col min="13061" max="13061" width="1.7109375" style="169" customWidth="1"/>
    <col min="13062" max="13062" width="29.140625" style="169" customWidth="1"/>
    <col min="13063" max="13063" width="4.5703125" style="169" customWidth="1"/>
    <col min="13064" max="13064" width="26.5703125" style="169" customWidth="1"/>
    <col min="13065" max="13311" width="9.140625" style="169"/>
    <col min="13312" max="13312" width="3.28515625" style="169" customWidth="1"/>
    <col min="13313" max="13313" width="11.42578125" style="169" customWidth="1"/>
    <col min="13314" max="13314" width="4.28515625" style="169" customWidth="1"/>
    <col min="13315" max="13315" width="16.85546875" style="169" customWidth="1"/>
    <col min="13316" max="13316" width="15.5703125" style="169" customWidth="1"/>
    <col min="13317" max="13317" width="1.7109375" style="169" customWidth="1"/>
    <col min="13318" max="13318" width="29.140625" style="169" customWidth="1"/>
    <col min="13319" max="13319" width="4.5703125" style="169" customWidth="1"/>
    <col min="13320" max="13320" width="26.5703125" style="169" customWidth="1"/>
    <col min="13321" max="13567" width="9.140625" style="169"/>
    <col min="13568" max="13568" width="3.28515625" style="169" customWidth="1"/>
    <col min="13569" max="13569" width="11.42578125" style="169" customWidth="1"/>
    <col min="13570" max="13570" width="4.28515625" style="169" customWidth="1"/>
    <col min="13571" max="13571" width="16.85546875" style="169" customWidth="1"/>
    <col min="13572" max="13572" width="15.5703125" style="169" customWidth="1"/>
    <col min="13573" max="13573" width="1.7109375" style="169" customWidth="1"/>
    <col min="13574" max="13574" width="29.140625" style="169" customWidth="1"/>
    <col min="13575" max="13575" width="4.5703125" style="169" customWidth="1"/>
    <col min="13576" max="13576" width="26.5703125" style="169" customWidth="1"/>
    <col min="13577" max="13823" width="9.140625" style="169"/>
    <col min="13824" max="13824" width="3.28515625" style="169" customWidth="1"/>
    <col min="13825" max="13825" width="11.42578125" style="169" customWidth="1"/>
    <col min="13826" max="13826" width="4.28515625" style="169" customWidth="1"/>
    <col min="13827" max="13827" width="16.85546875" style="169" customWidth="1"/>
    <col min="13828" max="13828" width="15.5703125" style="169" customWidth="1"/>
    <col min="13829" max="13829" width="1.7109375" style="169" customWidth="1"/>
    <col min="13830" max="13830" width="29.140625" style="169" customWidth="1"/>
    <col min="13831" max="13831" width="4.5703125" style="169" customWidth="1"/>
    <col min="13832" max="13832" width="26.5703125" style="169" customWidth="1"/>
    <col min="13833" max="14079" width="9.140625" style="169"/>
    <col min="14080" max="14080" width="3.28515625" style="169" customWidth="1"/>
    <col min="14081" max="14081" width="11.42578125" style="169" customWidth="1"/>
    <col min="14082" max="14082" width="4.28515625" style="169" customWidth="1"/>
    <col min="14083" max="14083" width="16.85546875" style="169" customWidth="1"/>
    <col min="14084" max="14084" width="15.5703125" style="169" customWidth="1"/>
    <col min="14085" max="14085" width="1.7109375" style="169" customWidth="1"/>
    <col min="14086" max="14086" width="29.140625" style="169" customWidth="1"/>
    <col min="14087" max="14087" width="4.5703125" style="169" customWidth="1"/>
    <col min="14088" max="14088" width="26.5703125" style="169" customWidth="1"/>
    <col min="14089" max="14335" width="9.140625" style="169"/>
    <col min="14336" max="14336" width="3.28515625" style="169" customWidth="1"/>
    <col min="14337" max="14337" width="11.42578125" style="169" customWidth="1"/>
    <col min="14338" max="14338" width="4.28515625" style="169" customWidth="1"/>
    <col min="14339" max="14339" width="16.85546875" style="169" customWidth="1"/>
    <col min="14340" max="14340" width="15.5703125" style="169" customWidth="1"/>
    <col min="14341" max="14341" width="1.7109375" style="169" customWidth="1"/>
    <col min="14342" max="14342" width="29.140625" style="169" customWidth="1"/>
    <col min="14343" max="14343" width="4.5703125" style="169" customWidth="1"/>
    <col min="14344" max="14344" width="26.5703125" style="169" customWidth="1"/>
    <col min="14345" max="14591" width="9.140625" style="169"/>
    <col min="14592" max="14592" width="3.28515625" style="169" customWidth="1"/>
    <col min="14593" max="14593" width="11.42578125" style="169" customWidth="1"/>
    <col min="14594" max="14594" width="4.28515625" style="169" customWidth="1"/>
    <col min="14595" max="14595" width="16.85546875" style="169" customWidth="1"/>
    <col min="14596" max="14596" width="15.5703125" style="169" customWidth="1"/>
    <col min="14597" max="14597" width="1.7109375" style="169" customWidth="1"/>
    <col min="14598" max="14598" width="29.140625" style="169" customWidth="1"/>
    <col min="14599" max="14599" width="4.5703125" style="169" customWidth="1"/>
    <col min="14600" max="14600" width="26.5703125" style="169" customWidth="1"/>
    <col min="14601" max="14847" width="9.140625" style="169"/>
    <col min="14848" max="14848" width="3.28515625" style="169" customWidth="1"/>
    <col min="14849" max="14849" width="11.42578125" style="169" customWidth="1"/>
    <col min="14850" max="14850" width="4.28515625" style="169" customWidth="1"/>
    <col min="14851" max="14851" width="16.85546875" style="169" customWidth="1"/>
    <col min="14852" max="14852" width="15.5703125" style="169" customWidth="1"/>
    <col min="14853" max="14853" width="1.7109375" style="169" customWidth="1"/>
    <col min="14854" max="14854" width="29.140625" style="169" customWidth="1"/>
    <col min="14855" max="14855" width="4.5703125" style="169" customWidth="1"/>
    <col min="14856" max="14856" width="26.5703125" style="169" customWidth="1"/>
    <col min="14857" max="15103" width="9.140625" style="169"/>
    <col min="15104" max="15104" width="3.28515625" style="169" customWidth="1"/>
    <col min="15105" max="15105" width="11.42578125" style="169" customWidth="1"/>
    <col min="15106" max="15106" width="4.28515625" style="169" customWidth="1"/>
    <col min="15107" max="15107" width="16.85546875" style="169" customWidth="1"/>
    <col min="15108" max="15108" width="15.5703125" style="169" customWidth="1"/>
    <col min="15109" max="15109" width="1.7109375" style="169" customWidth="1"/>
    <col min="15110" max="15110" width="29.140625" style="169" customWidth="1"/>
    <col min="15111" max="15111" width="4.5703125" style="169" customWidth="1"/>
    <col min="15112" max="15112" width="26.5703125" style="169" customWidth="1"/>
    <col min="15113" max="15359" width="9.140625" style="169"/>
    <col min="15360" max="15360" width="3.28515625" style="169" customWidth="1"/>
    <col min="15361" max="15361" width="11.42578125" style="169" customWidth="1"/>
    <col min="15362" max="15362" width="4.28515625" style="169" customWidth="1"/>
    <col min="15363" max="15363" width="16.85546875" style="169" customWidth="1"/>
    <col min="15364" max="15364" width="15.5703125" style="169" customWidth="1"/>
    <col min="15365" max="15365" width="1.7109375" style="169" customWidth="1"/>
    <col min="15366" max="15366" width="29.140625" style="169" customWidth="1"/>
    <col min="15367" max="15367" width="4.5703125" style="169" customWidth="1"/>
    <col min="15368" max="15368" width="26.5703125" style="169" customWidth="1"/>
    <col min="15369" max="15615" width="9.140625" style="169"/>
    <col min="15616" max="15616" width="3.28515625" style="169" customWidth="1"/>
    <col min="15617" max="15617" width="11.42578125" style="169" customWidth="1"/>
    <col min="15618" max="15618" width="4.28515625" style="169" customWidth="1"/>
    <col min="15619" max="15619" width="16.85546875" style="169" customWidth="1"/>
    <col min="15620" max="15620" width="15.5703125" style="169" customWidth="1"/>
    <col min="15621" max="15621" width="1.7109375" style="169" customWidth="1"/>
    <col min="15622" max="15622" width="29.140625" style="169" customWidth="1"/>
    <col min="15623" max="15623" width="4.5703125" style="169" customWidth="1"/>
    <col min="15624" max="15624" width="26.5703125" style="169" customWidth="1"/>
    <col min="15625" max="15871" width="9.140625" style="169"/>
    <col min="15872" max="15872" width="3.28515625" style="169" customWidth="1"/>
    <col min="15873" max="15873" width="11.42578125" style="169" customWidth="1"/>
    <col min="15874" max="15874" width="4.28515625" style="169" customWidth="1"/>
    <col min="15875" max="15875" width="16.85546875" style="169" customWidth="1"/>
    <col min="15876" max="15876" width="15.5703125" style="169" customWidth="1"/>
    <col min="15877" max="15877" width="1.7109375" style="169" customWidth="1"/>
    <col min="15878" max="15878" width="29.140625" style="169" customWidth="1"/>
    <col min="15879" max="15879" width="4.5703125" style="169" customWidth="1"/>
    <col min="15880" max="15880" width="26.5703125" style="169" customWidth="1"/>
    <col min="15881" max="16127" width="9.140625" style="169"/>
    <col min="16128" max="16128" width="3.28515625" style="169" customWidth="1"/>
    <col min="16129" max="16129" width="11.42578125" style="169" customWidth="1"/>
    <col min="16130" max="16130" width="4.28515625" style="169" customWidth="1"/>
    <col min="16131" max="16131" width="16.85546875" style="169" customWidth="1"/>
    <col min="16132" max="16132" width="15.5703125" style="169" customWidth="1"/>
    <col min="16133" max="16133" width="1.7109375" style="169" customWidth="1"/>
    <col min="16134" max="16134" width="29.140625" style="169" customWidth="1"/>
    <col min="16135" max="16135" width="4.5703125" style="169" customWidth="1"/>
    <col min="16136" max="16136" width="26.5703125" style="169" customWidth="1"/>
    <col min="16137" max="16384" width="9.140625" style="169"/>
  </cols>
  <sheetData>
    <row r="2" spans="1:20" ht="39" customHeight="1" x14ac:dyDescent="0.2">
      <c r="J2" s="169" t="s">
        <v>2</v>
      </c>
    </row>
    <row r="3" spans="1:20" ht="11.25" hidden="1" customHeight="1" x14ac:dyDescent="0.2"/>
    <row r="4" spans="1:20" ht="32.25" customHeight="1" x14ac:dyDescent="0.2">
      <c r="G4" s="309" t="s">
        <v>190</v>
      </c>
      <c r="H4" s="309"/>
    </row>
    <row r="5" spans="1:20" ht="18" customHeight="1" x14ac:dyDescent="0.2">
      <c r="G5" s="308" t="s">
        <v>210</v>
      </c>
      <c r="H5" s="308"/>
    </row>
    <row r="6" spans="1:20" ht="17.25" customHeight="1" x14ac:dyDescent="0.2">
      <c r="G6" s="309" t="s">
        <v>211</v>
      </c>
      <c r="H6" s="309"/>
    </row>
    <row r="7" spans="1:20" x14ac:dyDescent="0.2">
      <c r="H7" s="170"/>
    </row>
    <row r="8" spans="1:20" ht="66" customHeight="1" x14ac:dyDescent="0.2">
      <c r="G8" s="170" t="s">
        <v>2</v>
      </c>
      <c r="H8" s="170"/>
    </row>
    <row r="9" spans="1:20" ht="25.5" customHeight="1" x14ac:dyDescent="0.2">
      <c r="F9" s="172" t="s">
        <v>191</v>
      </c>
      <c r="G9" s="192"/>
      <c r="H9" s="170"/>
      <c r="J9" s="169" t="s">
        <v>2</v>
      </c>
    </row>
    <row r="10" spans="1:20" ht="21" customHeight="1" x14ac:dyDescent="0.2">
      <c r="F10" s="195" t="s">
        <v>192</v>
      </c>
      <c r="G10" s="175"/>
    </row>
    <row r="11" spans="1:20" ht="36" customHeight="1" x14ac:dyDescent="0.2">
      <c r="B11" s="170"/>
      <c r="F11" s="170"/>
      <c r="G11" s="170"/>
      <c r="H11" s="170"/>
      <c r="I11" s="170"/>
      <c r="J11" s="170" t="s">
        <v>2</v>
      </c>
    </row>
    <row r="12" spans="1:20" ht="21" customHeight="1" x14ac:dyDescent="0.2">
      <c r="A12" s="170" t="s">
        <v>111</v>
      </c>
      <c r="B12" s="170"/>
      <c r="C12" s="312" t="s">
        <v>212</v>
      </c>
      <c r="D12" s="312"/>
      <c r="F12" s="170"/>
      <c r="G12" s="312" t="s">
        <v>211</v>
      </c>
      <c r="H12" s="312"/>
      <c r="I12" s="170"/>
      <c r="J12" s="170"/>
    </row>
    <row r="13" spans="1:20" ht="19.5" customHeight="1" x14ac:dyDescent="0.25">
      <c r="A13" s="170"/>
      <c r="B13" s="170"/>
      <c r="C13" s="310" t="s">
        <v>213</v>
      </c>
      <c r="D13" s="310"/>
      <c r="G13" s="306" t="s">
        <v>193</v>
      </c>
      <c r="H13" s="306"/>
      <c r="N13" s="171"/>
      <c r="O13" s="307"/>
      <c r="P13" s="307"/>
      <c r="S13" s="171"/>
      <c r="T13" s="307"/>
    </row>
    <row r="14" spans="1:20" ht="17.25" customHeight="1" x14ac:dyDescent="0.2">
      <c r="A14" s="170"/>
      <c r="B14" s="170"/>
      <c r="C14" s="175"/>
      <c r="D14" s="172"/>
      <c r="G14" s="249"/>
      <c r="H14" s="249" t="s">
        <v>214</v>
      </c>
      <c r="T14" s="307"/>
    </row>
    <row r="15" spans="1:20" s="170" customFormat="1" ht="17.25" customHeight="1" x14ac:dyDescent="0.2">
      <c r="B15" s="173" t="s">
        <v>115</v>
      </c>
      <c r="C15" s="314" t="s">
        <v>194</v>
      </c>
      <c r="D15" s="314"/>
      <c r="E15" s="314"/>
      <c r="G15" s="173" t="s">
        <v>115</v>
      </c>
      <c r="H15" s="173" t="s">
        <v>195</v>
      </c>
      <c r="I15" s="192"/>
    </row>
    <row r="16" spans="1:20" s="170" customFormat="1" x14ac:dyDescent="0.2">
      <c r="B16" s="173"/>
      <c r="C16" s="173"/>
      <c r="G16" s="173"/>
      <c r="H16" s="314" t="s">
        <v>196</v>
      </c>
      <c r="I16" s="314"/>
      <c r="J16" s="314"/>
    </row>
    <row r="17" spans="1:20" s="175" customFormat="1" ht="18.75" customHeight="1" x14ac:dyDescent="0.25">
      <c r="B17" s="199"/>
      <c r="F17" s="306"/>
      <c r="G17" s="306"/>
    </row>
    <row r="18" spans="1:20" s="170" customFormat="1" ht="17.25" customHeight="1" x14ac:dyDescent="0.2">
      <c r="B18" s="199"/>
      <c r="C18" s="169"/>
      <c r="D18" s="169"/>
      <c r="E18" s="169"/>
      <c r="F18" s="306"/>
      <c r="G18" s="306"/>
      <c r="H18" s="175"/>
      <c r="I18" s="169"/>
      <c r="J18" s="169"/>
      <c r="P18" s="170" t="s">
        <v>147</v>
      </c>
    </row>
    <row r="19" spans="1:20" ht="27.75" customHeight="1" x14ac:dyDescent="0.2">
      <c r="H19" s="175"/>
    </row>
    <row r="20" spans="1:20" s="173" customFormat="1" ht="21" customHeight="1" x14ac:dyDescent="0.25">
      <c r="B20" s="173" t="s">
        <v>197</v>
      </c>
      <c r="F20" s="173" t="s">
        <v>198</v>
      </c>
      <c r="K20" s="173" t="s">
        <v>2</v>
      </c>
    </row>
    <row r="21" spans="1:20" s="173" customFormat="1" ht="18.75" customHeight="1" x14ac:dyDescent="0.25">
      <c r="B21" s="255" t="s">
        <v>199</v>
      </c>
      <c r="C21" s="255"/>
      <c r="D21" s="256"/>
      <c r="F21" s="255" t="s">
        <v>200</v>
      </c>
      <c r="H21" s="257"/>
      <c r="T21" s="252"/>
    </row>
    <row r="22" spans="1:20" s="170" customFormat="1" ht="39" customHeight="1" x14ac:dyDescent="0.2">
      <c r="B22" s="173" t="s">
        <v>115</v>
      </c>
      <c r="C22" s="174" t="s">
        <v>37</v>
      </c>
      <c r="D22" s="305" t="s">
        <v>118</v>
      </c>
      <c r="E22" s="305"/>
      <c r="G22" s="173" t="s">
        <v>115</v>
      </c>
      <c r="H22" s="252" t="str">
        <f>D22</f>
        <v xml:space="preserve">Direktur 
Protel Multi Energy
</v>
      </c>
    </row>
    <row r="23" spans="1:20" s="170" customFormat="1" x14ac:dyDescent="0.2">
      <c r="M23" s="197"/>
    </row>
    <row r="24" spans="1:20" s="170" customFormat="1" ht="12.75" customHeight="1" x14ac:dyDescent="0.25">
      <c r="C24" s="179" t="s">
        <v>2</v>
      </c>
      <c r="G24" s="180" t="s">
        <v>2</v>
      </c>
      <c r="H24" s="170" t="s">
        <v>2</v>
      </c>
      <c r="M24" s="181"/>
    </row>
    <row r="25" spans="1:20" s="173" customFormat="1" ht="18.75" customHeight="1" x14ac:dyDescent="0.25">
      <c r="B25" s="198" t="s">
        <v>119</v>
      </c>
      <c r="G25" s="173" t="str">
        <f>B25</f>
        <v xml:space="preserve">     Komarudin, S.T</v>
      </c>
    </row>
    <row r="26" spans="1:20" s="170" customFormat="1" ht="18" customHeight="1" x14ac:dyDescent="0.2">
      <c r="B26" s="181" t="s">
        <v>120</v>
      </c>
      <c r="G26" s="170" t="str">
        <f>B26</f>
        <v xml:space="preserve">                196805141993031002</v>
      </c>
    </row>
    <row r="27" spans="1:20" s="170" customFormat="1" ht="15" customHeight="1" x14ac:dyDescent="0.25">
      <c r="A27" s="170" t="s">
        <v>111</v>
      </c>
      <c r="B27" s="170" t="s">
        <v>112</v>
      </c>
      <c r="C27" s="176" t="s">
        <v>37</v>
      </c>
      <c r="D27" s="170" t="s">
        <v>116</v>
      </c>
      <c r="G27" s="170" t="s">
        <v>113</v>
      </c>
      <c r="H27" s="170" t="str">
        <f>D27</f>
        <v xml:space="preserve">Bandung </v>
      </c>
    </row>
    <row r="28" spans="1:20" s="170" customFormat="1" ht="15.75" x14ac:dyDescent="0.25">
      <c r="B28" s="170" t="s">
        <v>114</v>
      </c>
      <c r="C28" s="176" t="s">
        <v>37</v>
      </c>
      <c r="D28" s="177" t="s">
        <v>117</v>
      </c>
      <c r="G28" s="170" t="s">
        <v>110</v>
      </c>
      <c r="H28" s="170" t="s">
        <v>121</v>
      </c>
      <c r="N28" s="176"/>
      <c r="O28" s="305"/>
      <c r="P28" s="305"/>
      <c r="S28" s="176"/>
      <c r="T28" s="305"/>
    </row>
    <row r="29" spans="1:20" s="170" customFormat="1" ht="15.75" x14ac:dyDescent="0.25">
      <c r="C29" s="176"/>
      <c r="G29" s="170" t="s">
        <v>114</v>
      </c>
      <c r="H29" s="178" t="s">
        <v>122</v>
      </c>
      <c r="T29" s="305"/>
    </row>
    <row r="30" spans="1:20" s="170" customFormat="1" ht="26.25" customHeight="1" x14ac:dyDescent="0.2">
      <c r="B30" s="173" t="s">
        <v>115</v>
      </c>
      <c r="C30" s="174" t="s">
        <v>37</v>
      </c>
      <c r="D30" s="305">
        <f>D15</f>
        <v>0</v>
      </c>
      <c r="E30" s="305"/>
      <c r="G30" s="173" t="s">
        <v>115</v>
      </c>
      <c r="H30" s="252">
        <f>D30</f>
        <v>0</v>
      </c>
    </row>
    <row r="31" spans="1:20" s="170" customFormat="1" x14ac:dyDescent="0.2">
      <c r="M31" s="197"/>
    </row>
    <row r="32" spans="1:20" s="170" customFormat="1" ht="12.75" customHeight="1" x14ac:dyDescent="0.25">
      <c r="C32" s="179" t="s">
        <v>2</v>
      </c>
      <c r="G32" s="180" t="s">
        <v>2</v>
      </c>
      <c r="H32" s="170" t="s">
        <v>2</v>
      </c>
      <c r="M32" s="181"/>
    </row>
    <row r="33" spans="1:12" s="173" customFormat="1" ht="36" customHeight="1" x14ac:dyDescent="0.25">
      <c r="B33" s="198">
        <f>B17</f>
        <v>0</v>
      </c>
      <c r="G33" s="173">
        <f>B33</f>
        <v>0</v>
      </c>
    </row>
    <row r="34" spans="1:12" s="170" customFormat="1" ht="170.25" customHeight="1" x14ac:dyDescent="0.2">
      <c r="B34" s="181">
        <f>B18</f>
        <v>0</v>
      </c>
      <c r="G34" s="170">
        <f>B34</f>
        <v>0</v>
      </c>
    </row>
    <row r="35" spans="1:12" ht="51.75" customHeight="1" x14ac:dyDescent="0.2">
      <c r="C35" s="182" t="s">
        <v>201</v>
      </c>
      <c r="G35" s="169" t="s">
        <v>2</v>
      </c>
      <c r="J35" s="169" t="s">
        <v>2</v>
      </c>
      <c r="L35" s="169" t="s">
        <v>2</v>
      </c>
    </row>
    <row r="36" spans="1:12" ht="24" customHeight="1" x14ac:dyDescent="0.2">
      <c r="C36" s="315" t="s">
        <v>215</v>
      </c>
      <c r="D36" s="315"/>
    </row>
    <row r="37" spans="1:12" ht="27.75" customHeight="1" x14ac:dyDescent="0.2">
      <c r="D37" s="315"/>
      <c r="E37" s="315"/>
    </row>
    <row r="38" spans="1:12" ht="21" customHeight="1" x14ac:dyDescent="0.25">
      <c r="A38" s="183"/>
      <c r="B38" s="170"/>
      <c r="C38" s="184" t="s">
        <v>37</v>
      </c>
      <c r="D38" s="304"/>
      <c r="E38" s="304"/>
      <c r="F38" s="183"/>
      <c r="G38" s="306"/>
      <c r="H38" s="306"/>
    </row>
    <row r="39" spans="1:12" ht="21" customHeight="1" x14ac:dyDescent="0.25">
      <c r="A39" s="183"/>
      <c r="B39" s="170"/>
      <c r="C39" s="184"/>
      <c r="D39" s="251"/>
      <c r="E39" s="251"/>
      <c r="F39" s="183"/>
      <c r="G39" s="253"/>
      <c r="H39" s="253"/>
    </row>
    <row r="40" spans="1:12" ht="56.25" customHeight="1" x14ac:dyDescent="0.25">
      <c r="A40" s="183"/>
      <c r="B40" s="170"/>
      <c r="C40" s="194"/>
      <c r="D40" s="251"/>
      <c r="E40" s="251"/>
      <c r="F40" s="183"/>
      <c r="G40" s="253"/>
      <c r="H40" s="253"/>
    </row>
    <row r="41" spans="1:12" s="172" customFormat="1" ht="24.75" customHeight="1" x14ac:dyDescent="0.25">
      <c r="B41" s="250"/>
      <c r="C41" s="306" t="s">
        <v>148</v>
      </c>
      <c r="D41" s="306"/>
      <c r="E41" s="306"/>
      <c r="F41" s="306" t="s">
        <v>202</v>
      </c>
      <c r="G41" s="306"/>
      <c r="H41" s="306"/>
    </row>
    <row r="42" spans="1:12" ht="23.25" customHeight="1" x14ac:dyDescent="0.2">
      <c r="B42" s="185"/>
      <c r="C42" s="303" t="s">
        <v>203</v>
      </c>
      <c r="D42" s="303"/>
      <c r="E42" s="303"/>
      <c r="F42" s="313" t="s">
        <v>204</v>
      </c>
      <c r="G42" s="313"/>
      <c r="H42" s="313"/>
    </row>
    <row r="43" spans="1:12" x14ac:dyDescent="0.2">
      <c r="B43" s="185"/>
      <c r="C43" s="169" t="s">
        <v>2</v>
      </c>
    </row>
    <row r="44" spans="1:12" x14ac:dyDescent="0.2">
      <c r="B44" s="185"/>
      <c r="C44" s="185"/>
      <c r="D44" s="185"/>
      <c r="E44" s="185"/>
      <c r="F44" s="185"/>
      <c r="G44" s="185"/>
      <c r="H44" s="185"/>
    </row>
    <row r="45" spans="1:12" x14ac:dyDescent="0.2">
      <c r="B45" s="185"/>
      <c r="C45" s="185"/>
      <c r="D45" s="185"/>
      <c r="E45" s="185"/>
      <c r="F45" s="185"/>
      <c r="G45" s="185"/>
      <c r="H45" s="185"/>
      <c r="J45" s="169" t="s">
        <v>2</v>
      </c>
    </row>
    <row r="47" spans="1:12" ht="40.5" customHeight="1" x14ac:dyDescent="0.2">
      <c r="A47" s="183"/>
      <c r="B47" s="311"/>
      <c r="C47" s="311"/>
      <c r="D47" s="311"/>
      <c r="E47" s="311"/>
      <c r="F47" s="311"/>
      <c r="G47" s="311"/>
      <c r="H47" s="311"/>
    </row>
  </sheetData>
  <mergeCells count="26">
    <mergeCell ref="B47:H47"/>
    <mergeCell ref="G4:H4"/>
    <mergeCell ref="C12:D12"/>
    <mergeCell ref="G12:H12"/>
    <mergeCell ref="O13:P13"/>
    <mergeCell ref="F42:H42"/>
    <mergeCell ref="C15:E15"/>
    <mergeCell ref="H16:J16"/>
    <mergeCell ref="F17:G17"/>
    <mergeCell ref="D22:E22"/>
    <mergeCell ref="D30:E30"/>
    <mergeCell ref="C36:D36"/>
    <mergeCell ref="D37:E37"/>
    <mergeCell ref="G38:H38"/>
    <mergeCell ref="C41:E41"/>
    <mergeCell ref="F18:G18"/>
    <mergeCell ref="T13:T14"/>
    <mergeCell ref="G5:H5"/>
    <mergeCell ref="G6:H6"/>
    <mergeCell ref="G13:H13"/>
    <mergeCell ref="C13:D13"/>
    <mergeCell ref="C42:E42"/>
    <mergeCell ref="D38:E38"/>
    <mergeCell ref="O28:P28"/>
    <mergeCell ref="T28:T29"/>
    <mergeCell ref="F41:H41"/>
  </mergeCells>
  <pageMargins left="0.70866141732283472" right="0.70866141732283472" top="0.59055118110236227" bottom="0.74803149606299213" header="0.31496062992125984" footer="0.31496062992125984"/>
  <pageSetup paperSize="5" scale="65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SPD (2)</vt:lpstr>
      <vt:lpstr>SPD</vt:lpstr>
      <vt:lpstr>Rincian Biaya Perjadin (2)</vt:lpstr>
      <vt:lpstr>Rincian Biaya Perjadin</vt:lpstr>
      <vt:lpstr>Surat Pernyataan (4)</vt:lpstr>
      <vt:lpstr>Surat Pernyataan (3)</vt:lpstr>
      <vt:lpstr>Surat Pernyataan (2)</vt:lpstr>
      <vt:lpstr>Surat Pernyataan</vt:lpstr>
      <vt:lpstr>Pak darmo format baru</vt:lpstr>
      <vt:lpstr>format baru bersangkutan</vt:lpstr>
      <vt:lpstr>Nominatif Format Baru</vt:lpstr>
      <vt:lpstr>TTD</vt:lpstr>
      <vt:lpstr>'Nominatif Format Baru'!Print_Area</vt:lpstr>
      <vt:lpstr>SPD!Print_Area</vt:lpstr>
      <vt:lpstr>'SPD (2)'!Print_Area</vt:lpstr>
      <vt:lpstr>TTD!Print_Area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Mas</dc:creator>
  <cp:lastModifiedBy>Raden Mas</cp:lastModifiedBy>
  <cp:lastPrinted>2026-02-06T09:31:35Z</cp:lastPrinted>
  <dcterms:created xsi:type="dcterms:W3CDTF">2025-08-04T00:52:09Z</dcterms:created>
  <dcterms:modified xsi:type="dcterms:W3CDTF">2026-02-06T09:59:04Z</dcterms:modified>
</cp:coreProperties>
</file>